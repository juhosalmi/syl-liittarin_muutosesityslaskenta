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14955" windowHeight="7680" tabRatio="883"/>
  </bookViews>
  <sheets>
    <sheet name="Kaikki" sheetId="79" r:id="rId1"/>
    <sheet name="(SKY)" sheetId="278" r:id="rId2"/>
    <sheet name="(ÅAS)" sheetId="277" r:id="rId3"/>
    <sheet name="(VYY)" sheetId="276" r:id="rId4"/>
    <sheet name="(TYY)" sheetId="275" r:id="rId5"/>
    <sheet name="(TeYO)" sheetId="274" r:id="rId6"/>
    <sheet name="(Tamy)" sheetId="273" r:id="rId7"/>
    <sheet name="(TTYY)" sheetId="272" r:id="rId8"/>
    <sheet name="(SHS)" sheetId="271" r:id="rId9"/>
    <sheet name="(SAY)" sheetId="270" r:id="rId10"/>
    <sheet name="(OYY)" sheetId="269" r:id="rId11"/>
    <sheet name="(LTKY)" sheetId="268" r:id="rId12"/>
    <sheet name="(LYY)" sheetId="267" r:id="rId13"/>
    <sheet name="(KUVYO)" sheetId="266" r:id="rId14"/>
    <sheet name="(JYY)" sheetId="265" r:id="rId15"/>
    <sheet name="(ISYY)" sheetId="264" r:id="rId16"/>
    <sheet name="(HYY)" sheetId="263" r:id="rId17"/>
    <sheet name="(AYY)" sheetId="262" r:id="rId18"/>
    <sheet name="MUUTOSESITYSEXCEL" sheetId="1" r:id="rId19"/>
  </sheets>
  <functionGroups builtInGroupCount="17"/>
  <calcPr calcId="144525"/>
</workbook>
</file>

<file path=xl/calcChain.xml><?xml version="1.0" encoding="utf-8"?>
<calcChain xmlns="http://schemas.openxmlformats.org/spreadsheetml/2006/main">
  <c r="O8" i="278" l="1"/>
  <c r="O7" i="278"/>
  <c r="O3" i="278"/>
  <c r="O2" i="278"/>
  <c r="M8" i="278"/>
  <c r="M7" i="278"/>
  <c r="M3" i="278"/>
  <c r="M2" i="278"/>
  <c r="K8" i="278"/>
  <c r="K7" i="278"/>
  <c r="K3" i="278"/>
  <c r="K2" i="278"/>
  <c r="I8" i="278"/>
  <c r="I7" i="278"/>
  <c r="I3" i="278"/>
  <c r="I2" i="278"/>
  <c r="G8" i="278"/>
  <c r="G7" i="278"/>
  <c r="G3" i="278"/>
  <c r="G2" i="278"/>
  <c r="E8" i="278"/>
  <c r="E7" i="278"/>
  <c r="E3" i="278"/>
  <c r="E2" i="278"/>
  <c r="C8" i="278"/>
  <c r="C7" i="278"/>
  <c r="C3" i="278"/>
  <c r="C2" i="278"/>
  <c r="B10" i="278"/>
  <c r="D10" i="278"/>
  <c r="F10" i="278"/>
  <c r="H10" i="278"/>
  <c r="J10" i="278"/>
  <c r="L10" i="278"/>
  <c r="N7" i="278"/>
  <c r="N8" i="278"/>
  <c r="N9" i="278"/>
  <c r="B5" i="278"/>
  <c r="D5" i="278"/>
  <c r="F5" i="278"/>
  <c r="H5" i="278"/>
  <c r="J5" i="278"/>
  <c r="L5" i="278"/>
  <c r="N2" i="278"/>
  <c r="N3" i="278"/>
  <c r="N4" i="278"/>
  <c r="O8" i="277"/>
  <c r="O7" i="277"/>
  <c r="O3" i="277"/>
  <c r="O2" i="277"/>
  <c r="M8" i="277"/>
  <c r="M7" i="277"/>
  <c r="M3" i="277"/>
  <c r="M2" i="277"/>
  <c r="K8" i="277"/>
  <c r="K7" i="277"/>
  <c r="K3" i="277"/>
  <c r="K2" i="277"/>
  <c r="I8" i="277"/>
  <c r="I7" i="277"/>
  <c r="I3" i="277"/>
  <c r="I2" i="277"/>
  <c r="G8" i="277"/>
  <c r="G7" i="277"/>
  <c r="G3" i="277"/>
  <c r="G2" i="277"/>
  <c r="E8" i="277"/>
  <c r="E7" i="277"/>
  <c r="E3" i="277"/>
  <c r="E2" i="277"/>
  <c r="C8" i="277"/>
  <c r="C7" i="277"/>
  <c r="C3" i="277"/>
  <c r="C2" i="277"/>
  <c r="B10" i="277"/>
  <c r="D10" i="277"/>
  <c r="F10" i="277"/>
  <c r="H10" i="277"/>
  <c r="J10" i="277"/>
  <c r="L10" i="277"/>
  <c r="N7" i="277"/>
  <c r="N8" i="277"/>
  <c r="N9" i="277"/>
  <c r="B5" i="277"/>
  <c r="D5" i="277"/>
  <c r="F5" i="277"/>
  <c r="H5" i="277"/>
  <c r="J5" i="277"/>
  <c r="L5" i="277"/>
  <c r="N2" i="277"/>
  <c r="N3" i="277"/>
  <c r="N4" i="277"/>
  <c r="O8" i="276"/>
  <c r="O7" i="276"/>
  <c r="O3" i="276"/>
  <c r="O2" i="276"/>
  <c r="M8" i="276"/>
  <c r="M7" i="276"/>
  <c r="M3" i="276"/>
  <c r="M2" i="276"/>
  <c r="K8" i="276"/>
  <c r="K7" i="276"/>
  <c r="K3" i="276"/>
  <c r="K2" i="276"/>
  <c r="I8" i="276"/>
  <c r="I7" i="276"/>
  <c r="I3" i="276"/>
  <c r="I2" i="276"/>
  <c r="G8" i="276"/>
  <c r="G7" i="276"/>
  <c r="G3" i="276"/>
  <c r="G2" i="276"/>
  <c r="E8" i="276"/>
  <c r="E7" i="276"/>
  <c r="E3" i="276"/>
  <c r="E2" i="276"/>
  <c r="C8" i="276"/>
  <c r="C7" i="276"/>
  <c r="C3" i="276"/>
  <c r="C2" i="276"/>
  <c r="B10" i="276"/>
  <c r="D10" i="276"/>
  <c r="F10" i="276"/>
  <c r="H10" i="276"/>
  <c r="J10" i="276"/>
  <c r="L10" i="276"/>
  <c r="N7" i="276"/>
  <c r="N8" i="276"/>
  <c r="N9" i="276"/>
  <c r="B5" i="276"/>
  <c r="D5" i="276"/>
  <c r="F5" i="276"/>
  <c r="H5" i="276"/>
  <c r="J5" i="276"/>
  <c r="L5" i="276"/>
  <c r="N2" i="276"/>
  <c r="N3" i="276"/>
  <c r="N4" i="276"/>
  <c r="O8" i="275"/>
  <c r="O7" i="275"/>
  <c r="O3" i="275"/>
  <c r="O2" i="275"/>
  <c r="M8" i="275"/>
  <c r="M7" i="275"/>
  <c r="M3" i="275"/>
  <c r="M2" i="275"/>
  <c r="K8" i="275"/>
  <c r="K7" i="275"/>
  <c r="K3" i="275"/>
  <c r="K2" i="275"/>
  <c r="I8" i="275"/>
  <c r="I7" i="275"/>
  <c r="I3" i="275"/>
  <c r="I2" i="275"/>
  <c r="G8" i="275"/>
  <c r="G7" i="275"/>
  <c r="G3" i="275"/>
  <c r="G2" i="275"/>
  <c r="E8" i="275"/>
  <c r="E7" i="275"/>
  <c r="E3" i="275"/>
  <c r="E2" i="275"/>
  <c r="C8" i="275"/>
  <c r="C7" i="275"/>
  <c r="C3" i="275"/>
  <c r="C2" i="275"/>
  <c r="B10" i="275"/>
  <c r="D10" i="275"/>
  <c r="F10" i="275"/>
  <c r="H10" i="275"/>
  <c r="J10" i="275"/>
  <c r="L10" i="275"/>
  <c r="N7" i="275"/>
  <c r="N8" i="275"/>
  <c r="N9" i="275"/>
  <c r="B5" i="275"/>
  <c r="D5" i="275"/>
  <c r="F5" i="275"/>
  <c r="H5" i="275"/>
  <c r="J5" i="275"/>
  <c r="L5" i="275"/>
  <c r="N2" i="275"/>
  <c r="N3" i="275"/>
  <c r="N4" i="275"/>
  <c r="O8" i="274"/>
  <c r="O7" i="274"/>
  <c r="O3" i="274"/>
  <c r="O2" i="274"/>
  <c r="M8" i="274"/>
  <c r="M7" i="274"/>
  <c r="M3" i="274"/>
  <c r="M2" i="274"/>
  <c r="K8" i="274"/>
  <c r="K7" i="274"/>
  <c r="K3" i="274"/>
  <c r="K2" i="274"/>
  <c r="I8" i="274"/>
  <c r="I7" i="274"/>
  <c r="I3" i="274"/>
  <c r="I2" i="274"/>
  <c r="G8" i="274"/>
  <c r="G7" i="274"/>
  <c r="G3" i="274"/>
  <c r="G2" i="274"/>
  <c r="E8" i="274"/>
  <c r="E7" i="274"/>
  <c r="E3" i="274"/>
  <c r="E2" i="274"/>
  <c r="C8" i="274"/>
  <c r="C7" i="274"/>
  <c r="C3" i="274"/>
  <c r="C2" i="274"/>
  <c r="B10" i="274"/>
  <c r="D10" i="274"/>
  <c r="F10" i="274"/>
  <c r="H10" i="274"/>
  <c r="J10" i="274"/>
  <c r="L10" i="274"/>
  <c r="N7" i="274"/>
  <c r="N8" i="274"/>
  <c r="N9" i="274"/>
  <c r="B5" i="274"/>
  <c r="D5" i="274"/>
  <c r="F5" i="274"/>
  <c r="H5" i="274"/>
  <c r="J5" i="274"/>
  <c r="L5" i="274"/>
  <c r="N2" i="274"/>
  <c r="N3" i="274"/>
  <c r="N4" i="274"/>
  <c r="O8" i="273"/>
  <c r="O7" i="273"/>
  <c r="O3" i="273"/>
  <c r="O2" i="273"/>
  <c r="M8" i="273"/>
  <c r="M7" i="273"/>
  <c r="M3" i="273"/>
  <c r="M2" i="273"/>
  <c r="K8" i="273"/>
  <c r="K7" i="273"/>
  <c r="K3" i="273"/>
  <c r="K2" i="273"/>
  <c r="I8" i="273"/>
  <c r="I7" i="273"/>
  <c r="I3" i="273"/>
  <c r="I2" i="273"/>
  <c r="G8" i="273"/>
  <c r="G7" i="273"/>
  <c r="G3" i="273"/>
  <c r="G2" i="273"/>
  <c r="E8" i="273"/>
  <c r="E7" i="273"/>
  <c r="E3" i="273"/>
  <c r="E2" i="273"/>
  <c r="C8" i="273"/>
  <c r="C7" i="273"/>
  <c r="C3" i="273"/>
  <c r="C2" i="273"/>
  <c r="B10" i="273"/>
  <c r="D10" i="273"/>
  <c r="F10" i="273"/>
  <c r="H10" i="273"/>
  <c r="J10" i="273"/>
  <c r="L10" i="273"/>
  <c r="N7" i="273"/>
  <c r="N8" i="273"/>
  <c r="N9" i="273"/>
  <c r="B5" i="273"/>
  <c r="D5" i="273"/>
  <c r="F5" i="273"/>
  <c r="H5" i="273"/>
  <c r="J5" i="273"/>
  <c r="L5" i="273"/>
  <c r="N2" i="273"/>
  <c r="N3" i="273"/>
  <c r="N4" i="273"/>
  <c r="O8" i="272"/>
  <c r="O7" i="272"/>
  <c r="O3" i="272"/>
  <c r="O2" i="272"/>
  <c r="M8" i="272"/>
  <c r="M7" i="272"/>
  <c r="M3" i="272"/>
  <c r="M2" i="272"/>
  <c r="K8" i="272"/>
  <c r="K7" i="272"/>
  <c r="K3" i="272"/>
  <c r="K2" i="272"/>
  <c r="I8" i="272"/>
  <c r="I7" i="272"/>
  <c r="I3" i="272"/>
  <c r="I2" i="272"/>
  <c r="G8" i="272"/>
  <c r="G7" i="272"/>
  <c r="G3" i="272"/>
  <c r="G2" i="272"/>
  <c r="E8" i="272"/>
  <c r="E7" i="272"/>
  <c r="E3" i="272"/>
  <c r="E2" i="272"/>
  <c r="C8" i="272"/>
  <c r="C7" i="272"/>
  <c r="C3" i="272"/>
  <c r="C2" i="272"/>
  <c r="B10" i="272"/>
  <c r="D10" i="272"/>
  <c r="F10" i="272"/>
  <c r="H10" i="272"/>
  <c r="J10" i="272"/>
  <c r="L10" i="272"/>
  <c r="N7" i="272"/>
  <c r="N8" i="272"/>
  <c r="N9" i="272"/>
  <c r="B5" i="272"/>
  <c r="D5" i="272"/>
  <c r="F5" i="272"/>
  <c r="H5" i="272"/>
  <c r="J5" i="272"/>
  <c r="L5" i="272"/>
  <c r="N2" i="272"/>
  <c r="N3" i="272"/>
  <c r="N4" i="272"/>
  <c r="O8" i="271"/>
  <c r="O7" i="271"/>
  <c r="O3" i="271"/>
  <c r="O2" i="271"/>
  <c r="M8" i="271"/>
  <c r="M7" i="271"/>
  <c r="M3" i="271"/>
  <c r="M2" i="271"/>
  <c r="K8" i="271"/>
  <c r="K7" i="271"/>
  <c r="K3" i="271"/>
  <c r="K2" i="271"/>
  <c r="I8" i="271"/>
  <c r="I7" i="271"/>
  <c r="I3" i="271"/>
  <c r="I2" i="271"/>
  <c r="G8" i="271"/>
  <c r="G7" i="271"/>
  <c r="G3" i="271"/>
  <c r="G2" i="271"/>
  <c r="E8" i="271"/>
  <c r="E7" i="271"/>
  <c r="E3" i="271"/>
  <c r="E2" i="271"/>
  <c r="C8" i="271"/>
  <c r="C7" i="271"/>
  <c r="C3" i="271"/>
  <c r="C2" i="271"/>
  <c r="B10" i="271"/>
  <c r="D10" i="271"/>
  <c r="F10" i="271"/>
  <c r="H10" i="271"/>
  <c r="J10" i="271"/>
  <c r="L10" i="271"/>
  <c r="N7" i="271"/>
  <c r="N8" i="271"/>
  <c r="N9" i="271"/>
  <c r="B5" i="271"/>
  <c r="D5" i="271"/>
  <c r="F5" i="271"/>
  <c r="H5" i="271"/>
  <c r="J5" i="271"/>
  <c r="L5" i="271"/>
  <c r="N2" i="271"/>
  <c r="N3" i="271"/>
  <c r="N4" i="271"/>
  <c r="O8" i="270"/>
  <c r="O7" i="270"/>
  <c r="O3" i="270"/>
  <c r="O2" i="270"/>
  <c r="M8" i="270"/>
  <c r="M7" i="270"/>
  <c r="M3" i="270"/>
  <c r="M2" i="270"/>
  <c r="K8" i="270"/>
  <c r="K7" i="270"/>
  <c r="K3" i="270"/>
  <c r="K2" i="270"/>
  <c r="I8" i="270"/>
  <c r="I7" i="270"/>
  <c r="I3" i="270"/>
  <c r="I2" i="270"/>
  <c r="G8" i="270"/>
  <c r="G7" i="270"/>
  <c r="G3" i="270"/>
  <c r="G2" i="270"/>
  <c r="E8" i="270"/>
  <c r="E7" i="270"/>
  <c r="E3" i="270"/>
  <c r="E2" i="270"/>
  <c r="C8" i="270"/>
  <c r="C7" i="270"/>
  <c r="C3" i="270"/>
  <c r="C2" i="270"/>
  <c r="B10" i="270"/>
  <c r="D10" i="270"/>
  <c r="F10" i="270"/>
  <c r="H10" i="270"/>
  <c r="J10" i="270"/>
  <c r="L10" i="270"/>
  <c r="N7" i="270"/>
  <c r="N8" i="270"/>
  <c r="N9" i="270"/>
  <c r="B5" i="270"/>
  <c r="D5" i="270"/>
  <c r="F5" i="270"/>
  <c r="H5" i="270"/>
  <c r="J5" i="270"/>
  <c r="L5" i="270"/>
  <c r="N2" i="270"/>
  <c r="N3" i="270"/>
  <c r="N4" i="270"/>
  <c r="O8" i="269"/>
  <c r="O7" i="269"/>
  <c r="O3" i="269"/>
  <c r="O2" i="269"/>
  <c r="M8" i="269"/>
  <c r="M7" i="269"/>
  <c r="M3" i="269"/>
  <c r="M2" i="269"/>
  <c r="K8" i="269"/>
  <c r="K7" i="269"/>
  <c r="K3" i="269"/>
  <c r="K2" i="269"/>
  <c r="I8" i="269"/>
  <c r="I7" i="269"/>
  <c r="I3" i="269"/>
  <c r="I2" i="269"/>
  <c r="G8" i="269"/>
  <c r="G7" i="269"/>
  <c r="G3" i="269"/>
  <c r="G2" i="269"/>
  <c r="E8" i="269"/>
  <c r="E7" i="269"/>
  <c r="E3" i="269"/>
  <c r="E2" i="269"/>
  <c r="C8" i="269"/>
  <c r="C7" i="269"/>
  <c r="C3" i="269"/>
  <c r="C2" i="269"/>
  <c r="B10" i="269"/>
  <c r="D10" i="269"/>
  <c r="F10" i="269"/>
  <c r="H10" i="269"/>
  <c r="J10" i="269"/>
  <c r="L10" i="269"/>
  <c r="N7" i="269"/>
  <c r="N8" i="269"/>
  <c r="N9" i="269"/>
  <c r="B5" i="269"/>
  <c r="D5" i="269"/>
  <c r="F5" i="269"/>
  <c r="H5" i="269"/>
  <c r="J5" i="269"/>
  <c r="L5" i="269"/>
  <c r="N2" i="269"/>
  <c r="N3" i="269"/>
  <c r="N4" i="269"/>
  <c r="O8" i="268"/>
  <c r="O7" i="268"/>
  <c r="O3" i="268"/>
  <c r="O2" i="268"/>
  <c r="M8" i="268"/>
  <c r="M7" i="268"/>
  <c r="M3" i="268"/>
  <c r="M2" i="268"/>
  <c r="K8" i="268"/>
  <c r="K7" i="268"/>
  <c r="K3" i="268"/>
  <c r="K2" i="268"/>
  <c r="I8" i="268"/>
  <c r="I7" i="268"/>
  <c r="I3" i="268"/>
  <c r="I2" i="268"/>
  <c r="G8" i="268"/>
  <c r="G7" i="268"/>
  <c r="G3" i="268"/>
  <c r="G2" i="268"/>
  <c r="E8" i="268"/>
  <c r="E7" i="268"/>
  <c r="E3" i="268"/>
  <c r="E2" i="268"/>
  <c r="C8" i="268"/>
  <c r="C7" i="268"/>
  <c r="C3" i="268"/>
  <c r="C2" i="268"/>
  <c r="B10" i="268"/>
  <c r="D10" i="268"/>
  <c r="F10" i="268"/>
  <c r="H10" i="268"/>
  <c r="J10" i="268"/>
  <c r="L10" i="268"/>
  <c r="N7" i="268"/>
  <c r="N8" i="268"/>
  <c r="N9" i="268"/>
  <c r="B5" i="268"/>
  <c r="D5" i="268"/>
  <c r="F5" i="268"/>
  <c r="H5" i="268"/>
  <c r="J5" i="268"/>
  <c r="L5" i="268"/>
  <c r="N2" i="268"/>
  <c r="N3" i="268"/>
  <c r="N4" i="268"/>
  <c r="O8" i="267"/>
  <c r="O7" i="267"/>
  <c r="O3" i="267"/>
  <c r="O2" i="267"/>
  <c r="M8" i="267"/>
  <c r="M7" i="267"/>
  <c r="M3" i="267"/>
  <c r="M2" i="267"/>
  <c r="K8" i="267"/>
  <c r="K7" i="267"/>
  <c r="K3" i="267"/>
  <c r="K2" i="267"/>
  <c r="I8" i="267"/>
  <c r="I7" i="267"/>
  <c r="I3" i="267"/>
  <c r="I2" i="267"/>
  <c r="G8" i="267"/>
  <c r="G7" i="267"/>
  <c r="G3" i="267"/>
  <c r="G2" i="267"/>
  <c r="E8" i="267"/>
  <c r="E7" i="267"/>
  <c r="E3" i="267"/>
  <c r="E2" i="267"/>
  <c r="C8" i="267"/>
  <c r="C7" i="267"/>
  <c r="C3" i="267"/>
  <c r="C2" i="267"/>
  <c r="B10" i="267"/>
  <c r="D10" i="267"/>
  <c r="F10" i="267"/>
  <c r="H10" i="267"/>
  <c r="J10" i="267"/>
  <c r="L10" i="267"/>
  <c r="N7" i="267"/>
  <c r="N8" i="267"/>
  <c r="N9" i="267"/>
  <c r="B5" i="267"/>
  <c r="D5" i="267"/>
  <c r="F5" i="267"/>
  <c r="H5" i="267"/>
  <c r="J5" i="267"/>
  <c r="L5" i="267"/>
  <c r="N2" i="267"/>
  <c r="N3" i="267"/>
  <c r="N4" i="267"/>
  <c r="O8" i="266"/>
  <c r="O7" i="266"/>
  <c r="O3" i="266"/>
  <c r="O2" i="266"/>
  <c r="M8" i="266"/>
  <c r="M7" i="266"/>
  <c r="M3" i="266"/>
  <c r="M2" i="266"/>
  <c r="K8" i="266"/>
  <c r="K7" i="266"/>
  <c r="K3" i="266"/>
  <c r="K2" i="266"/>
  <c r="I8" i="266"/>
  <c r="I7" i="266"/>
  <c r="I3" i="266"/>
  <c r="I2" i="266"/>
  <c r="G8" i="266"/>
  <c r="G7" i="266"/>
  <c r="G3" i="266"/>
  <c r="G2" i="266"/>
  <c r="E8" i="266"/>
  <c r="E7" i="266"/>
  <c r="E3" i="266"/>
  <c r="E2" i="266"/>
  <c r="C8" i="266"/>
  <c r="C7" i="266"/>
  <c r="C3" i="266"/>
  <c r="C2" i="266"/>
  <c r="B10" i="266"/>
  <c r="D10" i="266"/>
  <c r="F10" i="266"/>
  <c r="H10" i="266"/>
  <c r="J10" i="266"/>
  <c r="L10" i="266"/>
  <c r="N7" i="266"/>
  <c r="N8" i="266"/>
  <c r="N9" i="266"/>
  <c r="B5" i="266"/>
  <c r="D5" i="266"/>
  <c r="F5" i="266"/>
  <c r="H5" i="266"/>
  <c r="J5" i="266"/>
  <c r="L5" i="266"/>
  <c r="N2" i="266"/>
  <c r="N3" i="266"/>
  <c r="N4" i="266"/>
  <c r="O8" i="265"/>
  <c r="O7" i="265"/>
  <c r="O3" i="265"/>
  <c r="O2" i="265"/>
  <c r="M8" i="265"/>
  <c r="M7" i="265"/>
  <c r="M3" i="265"/>
  <c r="M2" i="265"/>
  <c r="K8" i="265"/>
  <c r="K7" i="265"/>
  <c r="K3" i="265"/>
  <c r="K2" i="265"/>
  <c r="I8" i="265"/>
  <c r="I7" i="265"/>
  <c r="I3" i="265"/>
  <c r="I2" i="265"/>
  <c r="G8" i="265"/>
  <c r="G7" i="265"/>
  <c r="G3" i="265"/>
  <c r="G2" i="265"/>
  <c r="E8" i="265"/>
  <c r="E7" i="265"/>
  <c r="E3" i="265"/>
  <c r="E2" i="265"/>
  <c r="C8" i="265"/>
  <c r="C7" i="265"/>
  <c r="C3" i="265"/>
  <c r="C2" i="265"/>
  <c r="B10" i="265"/>
  <c r="D10" i="265"/>
  <c r="F10" i="265"/>
  <c r="H10" i="265"/>
  <c r="J10" i="265"/>
  <c r="L10" i="265"/>
  <c r="N7" i="265"/>
  <c r="N8" i="265"/>
  <c r="N9" i="265"/>
  <c r="B5" i="265"/>
  <c r="D5" i="265"/>
  <c r="F5" i="265"/>
  <c r="H5" i="265"/>
  <c r="J5" i="265"/>
  <c r="L5" i="265"/>
  <c r="N2" i="265"/>
  <c r="N3" i="265"/>
  <c r="N4" i="265"/>
  <c r="O8" i="264"/>
  <c r="O7" i="264"/>
  <c r="O3" i="264"/>
  <c r="O2" i="264"/>
  <c r="M8" i="264"/>
  <c r="M7" i="264"/>
  <c r="M3" i="264"/>
  <c r="M2" i="264"/>
  <c r="K8" i="264"/>
  <c r="K7" i="264"/>
  <c r="K3" i="264"/>
  <c r="K2" i="264"/>
  <c r="I8" i="264"/>
  <c r="I7" i="264"/>
  <c r="I3" i="264"/>
  <c r="I2" i="264"/>
  <c r="G8" i="264"/>
  <c r="G7" i="264"/>
  <c r="G3" i="264"/>
  <c r="G2" i="264"/>
  <c r="E8" i="264"/>
  <c r="E7" i="264"/>
  <c r="E3" i="264"/>
  <c r="E2" i="264"/>
  <c r="C8" i="264"/>
  <c r="C7" i="264"/>
  <c r="C3" i="264"/>
  <c r="C2" i="264"/>
  <c r="B10" i="264"/>
  <c r="D10" i="264"/>
  <c r="F10" i="264"/>
  <c r="H10" i="264"/>
  <c r="J10" i="264"/>
  <c r="L10" i="264"/>
  <c r="N7" i="264"/>
  <c r="N8" i="264"/>
  <c r="N9" i="264"/>
  <c r="B5" i="264"/>
  <c r="D5" i="264"/>
  <c r="F5" i="264"/>
  <c r="H5" i="264"/>
  <c r="J5" i="264"/>
  <c r="L5" i="264"/>
  <c r="N2" i="264"/>
  <c r="N3" i="264"/>
  <c r="N4" i="264"/>
  <c r="O8" i="263"/>
  <c r="O7" i="263"/>
  <c r="O3" i="263"/>
  <c r="O2" i="263"/>
  <c r="M8" i="263"/>
  <c r="M7" i="263"/>
  <c r="M3" i="263"/>
  <c r="M2" i="263"/>
  <c r="K8" i="263"/>
  <c r="K7" i="263"/>
  <c r="K3" i="263"/>
  <c r="K2" i="263"/>
  <c r="I8" i="263"/>
  <c r="I7" i="263"/>
  <c r="I3" i="263"/>
  <c r="I2" i="263"/>
  <c r="G8" i="263"/>
  <c r="G7" i="263"/>
  <c r="G3" i="263"/>
  <c r="G2" i="263"/>
  <c r="E8" i="263"/>
  <c r="E7" i="263"/>
  <c r="E3" i="263"/>
  <c r="E2" i="263"/>
  <c r="C8" i="263"/>
  <c r="C7" i="263"/>
  <c r="C3" i="263"/>
  <c r="C2" i="263"/>
  <c r="B10" i="263"/>
  <c r="D10" i="263"/>
  <c r="F10" i="263"/>
  <c r="H10" i="263"/>
  <c r="J10" i="263"/>
  <c r="L10" i="263"/>
  <c r="N7" i="263"/>
  <c r="N8" i="263"/>
  <c r="N9" i="263"/>
  <c r="B5" i="263"/>
  <c r="D5" i="263"/>
  <c r="F5" i="263"/>
  <c r="H5" i="263"/>
  <c r="J5" i="263"/>
  <c r="L5" i="263"/>
  <c r="N2" i="263"/>
  <c r="N3" i="263"/>
  <c r="N4" i="263"/>
  <c r="O8" i="262"/>
  <c r="O7" i="262"/>
  <c r="O3" i="262"/>
  <c r="O2" i="262"/>
  <c r="M8" i="262"/>
  <c r="M7" i="262"/>
  <c r="M3" i="262"/>
  <c r="M2" i="262"/>
  <c r="K8" i="262"/>
  <c r="K7" i="262"/>
  <c r="K3" i="262"/>
  <c r="K2" i="262"/>
  <c r="I8" i="262"/>
  <c r="I7" i="262"/>
  <c r="I3" i="262"/>
  <c r="I2" i="262"/>
  <c r="G8" i="262"/>
  <c r="G7" i="262"/>
  <c r="G3" i="262"/>
  <c r="G2" i="262"/>
  <c r="E8" i="262"/>
  <c r="E7" i="262"/>
  <c r="E3" i="262"/>
  <c r="E2" i="262"/>
  <c r="C8" i="262"/>
  <c r="C7" i="262"/>
  <c r="C3" i="262"/>
  <c r="C2" i="262"/>
  <c r="B10" i="262"/>
  <c r="D10" i="262"/>
  <c r="F10" i="262"/>
  <c r="H10" i="262"/>
  <c r="J10" i="262"/>
  <c r="L10" i="262"/>
  <c r="N7" i="262"/>
  <c r="N8" i="262"/>
  <c r="N9" i="262"/>
  <c r="B5" i="262"/>
  <c r="D5" i="262"/>
  <c r="F5" i="262"/>
  <c r="H5" i="262"/>
  <c r="J5" i="262"/>
  <c r="L5" i="262"/>
  <c r="N2" i="262"/>
  <c r="N3" i="262"/>
  <c r="N4" i="262"/>
  <c r="N10" i="278" l="1"/>
  <c r="N5" i="278"/>
  <c r="N10" i="277"/>
  <c r="N5" i="277"/>
  <c r="N10" i="276"/>
  <c r="N5" i="276"/>
  <c r="N10" i="275"/>
  <c r="N5" i="275"/>
  <c r="N10" i="274"/>
  <c r="N5" i="274"/>
  <c r="N10" i="273"/>
  <c r="N5" i="273"/>
  <c r="N10" i="272"/>
  <c r="N5" i="272"/>
  <c r="N10" i="271"/>
  <c r="N5" i="271"/>
  <c r="N10" i="270"/>
  <c r="N5" i="270"/>
  <c r="N10" i="269"/>
  <c r="N5" i="269"/>
  <c r="N10" i="268"/>
  <c r="N5" i="268"/>
  <c r="N10" i="267"/>
  <c r="N5" i="267"/>
  <c r="N10" i="266"/>
  <c r="N5" i="266"/>
  <c r="N10" i="265"/>
  <c r="N5" i="265"/>
  <c r="N10" i="264"/>
  <c r="N5" i="264"/>
  <c r="N10" i="263"/>
  <c r="N5" i="263"/>
  <c r="N10" i="262"/>
  <c r="N5" i="262"/>
  <c r="B5" i="79" l="1"/>
  <c r="C5" i="79"/>
  <c r="D5" i="79"/>
  <c r="E5" i="79"/>
  <c r="F5" i="79"/>
  <c r="G5" i="79"/>
  <c r="H2" i="79"/>
  <c r="H3" i="79"/>
  <c r="H4" i="79"/>
  <c r="H5" i="79" l="1"/>
</calcChain>
</file>

<file path=xl/sharedStrings.xml><?xml version="1.0" encoding="utf-8"?>
<sst xmlns="http://schemas.openxmlformats.org/spreadsheetml/2006/main" count="892" uniqueCount="218">
  <si>
    <t>RIVI</t>
  </si>
  <si>
    <t>MITÄ</t>
  </si>
  <si>
    <t>ESITYS</t>
  </si>
  <si>
    <t>ESITTÄÄ</t>
  </si>
  <si>
    <t>KANNATTAA</t>
  </si>
  <si>
    <t>TR</t>
  </si>
  <si>
    <t>HALLITUS</t>
  </si>
  <si>
    <t>LIKO</t>
  </si>
  <si>
    <t>hyv</t>
  </si>
  <si>
    <t>hyl</t>
  </si>
  <si>
    <t>ASIAKIRJAN NUMERO</t>
  </si>
  <si>
    <t>muutos</t>
  </si>
  <si>
    <t>poisto</t>
  </si>
  <si>
    <t>poistetaan 300 euron katto sekä yleisperusteluista että yksityiskohtaisista perusteluista</t>
  </si>
  <si>
    <t>stilistinen korjaus</t>
  </si>
  <si>
    <t>hylätään koko kannanotto</t>
  </si>
  <si>
    <t>lisäys</t>
  </si>
  <si>
    <t>Korvataan riviltä 22 alkava virke ”Erityistoimia kohdennetaan...”
virkkeellä ”Opiskelijavalinta tehdään sosioekonomisesta taustasta riippumattomaksi.”.</t>
  </si>
  <si>
    <t xml:space="preserve">Lisätään sana "erityisesti" sanojen "kehitetään" ja "opiskelijalapsiperheiden” väliin. </t>
  </si>
  <si>
    <t>Muutetaan kohta ”YTHS-kokeilu vakinaistetaan” muotoon ”YTHS-kokeilu vakinaistetaan AMK-uudistuksen edetessä."</t>
  </si>
  <si>
    <r>
      <rPr>
        <i/>
        <sz val="8"/>
        <rFont val="Arial"/>
        <family val="2"/>
      </rPr>
      <t>Uudeksi kohdaksi muiden jälkeen:</t>
    </r>
    <r>
      <rPr>
        <sz val="8"/>
        <rFont val="Arial"/>
        <family val="2"/>
      </rPr>
      <t xml:space="preserve"> Korkeakouluista käytävän kansainvälistymiskeskustelun rinnalle nostetaan laajempi keskustelu suomalaisen yhteiskunnan kansainvälistymisestä ja kansainvälisten tutkinto-opiskelijoiden roolista tässä kehityksessä. Parannusta vaaditaan muun muassa oleskelulupa- ja maahanmuuttokäytäntöihin sekä kansainvälisten tutkinto-opiskelijoiden työllistymisen edellytyksiin.</t>
    </r>
  </si>
  <si>
    <t>ei käs</t>
  </si>
  <si>
    <t>Muutos</t>
  </si>
  <si>
    <t>Muutetaan ”työssäkäyntiin liittyvä problematiikka” muotoon ”erilaiset elämäntilanteet”</t>
  </si>
  <si>
    <t xml:space="preserve">”Tavoitteena on nykyistä joustavampi sekä vähemmän byrokraattinen malli, joka kohtelee kaikkia yhdenvertaisesti ja ehkäisee kannustinloukkuja.” </t>
  </si>
  <si>
    <t>Poisto</t>
  </si>
  <si>
    <t>Poistetaan sana ”tarvittaessa”</t>
  </si>
  <si>
    <t>85-87</t>
  </si>
  <si>
    <t>Muutetaan sana ”syrjäytymiseen” muotoon ”marginalisaatioon”</t>
  </si>
  <si>
    <t>90-91</t>
  </si>
  <si>
    <t>91-92</t>
  </si>
  <si>
    <t>"Eläkepolitiikka ja monet työurakysymykset ovat  työmarkkinajärjestöjen välillä neuvoteltavia asioita."</t>
  </si>
  <si>
    <t>Lauseen loppuun: ”...ottaen huomioon perustulon ympärillä käydyn keskustelun”</t>
  </si>
  <si>
    <t>Lauseen loppuun: "...sekä tarveharkintaisuuden eri mahdollisuudet huomioiden."</t>
  </si>
  <si>
    <t>Pursiainen (AYY)</t>
  </si>
  <si>
    <t>poistetaan Yliopisto 2030-tosukohta</t>
  </si>
  <si>
    <t>”SYL tulee koko vuoden vaikuttamaan aktiivisesti siihen, että yliopistojen tarjoama koulutus toteutetaan tehostamispaineenkin alla opiskelijaystävällisesti ja laadukkaasti, siten että opiskelijoiden on mahdollista valmistua tavoiteajassa hyvä opiskelukyky säilyttäen. SYL pitää esillä kesäopiskelun, joustavien opiskelumahdollisuuksien, riittävän ohjauksen ja aktivoivan opetuksen merkitystä opiskeluja edistävinä tekijöinä sekä tukee ylioppilaskuntia paikallisessa vaikuttamistyössä. Tämän lisäksi ylioppilasliike vastaa omalta osaltaan käynnissä olevaan keskusteluun tulevaisuuden tiedeyhteisöstä luomalla visionsa suomalaisesta ideaaliyliopistosta.”</t>
  </si>
  <si>
    <t xml:space="preserve">Muutetaan riviltä 68 alkava virke seuraavasti ”Vuoden 2013 aikana ylioppilasliike luo pohjan korkeakoulutusideaalin luomisesta” </t>
  </si>
  <si>
    <t>muutetaan rivien ilmaukset ”yliopisto” muotoon korkeakoulutus</t>
  </si>
  <si>
    <t>muutetaan rivit muotoon "SYL:n keskustoimisto koordinoi ja seuraa visiointityötä. Työhön osallistuvat ylioppilaskunnat, ylioppilasliikkeen alumnitoimijat ja muut sidosryhmät kuten esimerkiksi tulevaisuuden tutkimuskeskus. Työn tuloksena luodaan käytännöt jatkuvan toiminnan käynnistämiseksi."</t>
  </si>
  <si>
    <t>67-82</t>
  </si>
  <si>
    <t>70-72</t>
  </si>
  <si>
    <t>Muutetaan otsikko muotoon "Toimintakykyinen ja tulevaisuuteen katsova yliopisto"</t>
  </si>
  <si>
    <t>75-76</t>
  </si>
  <si>
    <t xml:space="preserve">Korvataan rivien 75–76 virke ”Huomiota kiinnitetään myös yliopistodemokratiaan ja opiskelijan asemaan yliopistoyhteisössä.” virkkeellä ”Visioon kuuluu myös opiskelijan aseman pohtiminen yliopistojen päätöksenteossa sekä ihanteellisen yliopistodemokraattisen mallin luominen.” </t>
  </si>
  <si>
    <t>muutetaan rivillä 76 alkava virke "Ideaaliyliopistoa..." muutetaan muotoon: ”Osana visiotyötä tarkastellaan koko ideaalikorkeakoulujärjestelmää suhteessa yhteiskunnan ja yksilöiden osaamis- ja sivistystarpeisiin.”  ja tämä siirretään ko. kappaleen toiseksi virkkeeksi</t>
  </si>
  <si>
    <t>79-82</t>
  </si>
  <si>
    <t>Muutetaan kappaleen ensimmäinen virke muotoon: ”Vuonna 2013 SYL luo laajan huoltosuhteen heikkenemiseen, työelämän muutoksiin ja eläkepoliittisiin kysymyksiin liittyvän näkemyksen sukupolvien välisestä oikeudenmukaisuudesta.”</t>
  </si>
  <si>
    <t>Lisäys</t>
  </si>
  <si>
    <r>
      <t xml:space="preserve">Lisätään rivin 89 loppuun kaksi sanaa ”...jotta nuoren sukupolven ääni tulisi </t>
    </r>
    <r>
      <rPr>
        <b/>
        <sz val="8"/>
        <rFont val="Arial"/>
        <family val="2"/>
      </rPr>
      <t xml:space="preserve">yhteiskunnallisessa keskustelussa </t>
    </r>
    <r>
      <rPr>
        <sz val="8"/>
        <rFont val="Arial"/>
        <family val="2"/>
      </rPr>
      <t>vahvemmin esille.“ (lisäksi korjataan kirjoitusvirhe rivillä 89)</t>
    </r>
  </si>
  <si>
    <t>Muutetaan virke aktiivimuotoon: ”Vuoden 2013 aikana SYL syventää osaamistaan etenkin eläkepolitiikkaan ja huoltosuhdepäätöksiin liittyvistä asioista.”</t>
  </si>
  <si>
    <t>Lauseen loppuun: ”...sekä tuetaan ylioppilaskuntien työelämäasioiden osaamisen kehittymistä."</t>
  </si>
  <si>
    <t>Jones (HYY)</t>
  </si>
  <si>
    <t>Rannanpää (OYY)</t>
  </si>
  <si>
    <t>102-105</t>
  </si>
  <si>
    <t>110-114</t>
  </si>
  <si>
    <t>Naams (TTYY)</t>
  </si>
  <si>
    <t>Laakso (AYY)</t>
  </si>
  <si>
    <t>Heiska (JYY)</t>
  </si>
  <si>
    <t>"oleskelulupa- ja maahanmuuttokäytäntöihin" -&gt;  "oleskelulupa-, työlupa- ja maahanmuuttokäytäntöihin"</t>
  </si>
  <si>
    <t>“SYL ja ylioppilaskunnat ryhtyvät vaikutustyöhön” muotoon “SYL ryhtyy yhteistyössä ylioppilaskuntien kanssa vaikutustyöhön”</t>
  </si>
  <si>
    <t>lisäys: “kartoittaa” muotoon “kartoittaa ja edistää”</t>
  </si>
  <si>
    <t>Siirretään virke: "Työn tavoitteena on nostaa korkeakouluista käytävän kansainvälistymiskeskustelun rinnalle laajempi keskustelu suomalaisen yhteiskunnan kansainvälistymisestä ja kansainvälisten tutkinto-opiskelijoiden roolista tässä kehityksessä.” riville 118 (kappaleen loppuun) seuraavassa muodossa “Tavoitteena on lisäksi nostaa korkeakouluista käytävän kansainvälistymiskeskustelun rinnalle laajempi keskustelu suomalaisen yhteiskunnan kansainvälistymisestä ja kansainvälisten tutkinto-opiskelijoiden roolista tässä kehityksessä.”</t>
  </si>
  <si>
    <t>Poistetaan sana “Lisäksi”</t>
  </si>
  <si>
    <t>Muutetaan virke muotoon: ”Parannusehdotuksia etsitään ensisijaisesti työllistymiseen, kotimaisten kielten ja kulttuurin oppimiseen,  kansainvälisten opiskelijoiden arvostuksen kohottamiseen, sekä esimerkiksi oleskelulupa- ja maahanmuuttokäytäntöihin. Lisäksi tuetaan ylioppilaskuntia yliopistojen palveluihin ja viestintään, kolmikieliseen (suomi, ruotsi, englanti) viestintään, asumiseen ja asumispalveluihin, opiskelijaetuihin, opiskelijajärjestöjen saavutettavuuteen ja verkostoitumisen mahdollisuuksiin liittyvissä kysymyksissä.”</t>
  </si>
  <si>
    <t>Järvenpää (Tamy)</t>
  </si>
  <si>
    <t>Lehtinen (Tamy)</t>
  </si>
  <si>
    <t>120-135</t>
  </si>
  <si>
    <t>Tervaportti (LTKY)</t>
  </si>
  <si>
    <t>Vahevaara (VYY)</t>
  </si>
  <si>
    <t>Poistetaan koko kirjaus</t>
  </si>
  <si>
    <t>133-135</t>
  </si>
  <si>
    <t>131-133</t>
  </si>
  <si>
    <t>Korvataan virke "Vaikutustyötä..." virkkeellä "Vaikutustyötä maksuttoman koulutuksen puolesta suunnitellaan ja tehdään tiiviissä yhteistyössä heti vuoden alusta ylioppilaskuntien kanssa, ja keskinäistä tiedonkulkua parannetaan toiminnan terävöittämiseksi. SYL koordinoi oman vaikuttamisensa lisäksi ylioppilaskuntien paikallista vaikuttamistyötä tukemalla ja ohjeistamalla."</t>
  </si>
  <si>
    <t>Korjataan rivillä 121 kirjoitusvirhe "Suomaisen" sanalla "Suomalaisen".</t>
  </si>
  <si>
    <r>
      <t>SYL aktivoi keskustelua</t>
    </r>
    <r>
      <rPr>
        <b/>
        <sz val="8"/>
        <rFont val="Arial"/>
        <family val="2"/>
      </rPr>
      <t xml:space="preserve"> tasa-arvoisen ja saavutettavan</t>
    </r>
    <r>
      <rPr>
        <sz val="8"/>
        <rFont val="Arial"/>
        <family val="2"/>
      </rPr>
      <t xml:space="preserve"> pohjoismaisen korkeakoulutuksen vahvuuksista ja kehittämiskohteista. </t>
    </r>
  </si>
  <si>
    <t>12b</t>
  </si>
  <si>
    <t>korjataan yksityiskohtaisissa perusteluissa osion Hallitus alta kirjoitusvirhe: "kotipaikkakunnalle" muotoon "opiskelupaikkakunnalle"</t>
  </si>
  <si>
    <t>Yleisperustelut: hallituksen opiskelupaikkakunnalle matkustamisen oikeus 1krt/vkossa -&gt; 1krt/kk</t>
  </si>
  <si>
    <t>koko teksti</t>
  </si>
  <si>
    <t>uusi pohja</t>
  </si>
  <si>
    <t>otsikko</t>
  </si>
  <si>
    <t>”Suomi ei pärjää pelkästään korkeakoulutuksen määrällä, vaan yliopistojen on panostettava ennen kaikkea opetuksen ja tutkimuksen korkeaan laatuun. Suomen ylioppilaskuntien liiton (SYL) liittokokous vaatii, että yliopistot kantavat yhdessä vastuun kaikista koulutusaloista ja lähtevät edistämään yliopistojen rakenteellista kehittämistä määrätietoisesti. Rakenteellista kehittämistä on tehtävä ensisijaisesti koulutuksen ja tutkimuksen laadun lisäämiseksi. Tämä edellyttää sitä, että yliopistot sitoutuvat sopimaan järkevästä työnjaosta.
Yliopistoindeksin jäädytyksen myötä yliopistojen rahoituksessa on 40 miljoonan euron lovi vuodelle 2013. Huonontuvassa taloustilanteessa yliopistojen on kyettävä keskinäisen kilpailun sijaan yhteistyöhön ja tehtävä välttämättömät päätökset yliopistokentän toimintatapojen ja rakenteiden uudistamiseksi.”</t>
  </si>
  <si>
    <t>Muutetaan virke ”Liittokokous vaatii…” muotoon: ”Liittokokous vaatii, että filiaalien ja yliopistokeskusten tutkintoon johtavan koulutuksen laatua ja tuloksellisuutta arvioidaan kriittisesti.”</t>
  </si>
  <si>
    <t>Liittokokous vaatii, että filiaalien ja yliopistokeskusten tutkintoon johtavaa koulutusta arvioidaan paitsi yliopistojen profiilin myös alueellisen koulutustarpeen pohjalta.</t>
  </si>
  <si>
    <t>Poistetaan virke ”Vähintään on varmistettava…”</t>
  </si>
  <si>
    <t>Esitys: Lisäys riville 19: ”Korkeakouluverkon keskittäminen laadullisin perustein ei kuitenkaan automaattisesti tarkoita pienien yksiköiden hävittämistä, sillä alan kärjet voivat löytyä myös muualta kuin suurista yliopistokaupungeista.”</t>
  </si>
  <si>
    <t>Katajamäki (ÅAS)</t>
  </si>
  <si>
    <t>Kangasniemi (LTKY)</t>
  </si>
  <si>
    <t>Pistemaa (OYY)</t>
  </si>
  <si>
    <t>Tikkinen (OYY)</t>
  </si>
  <si>
    <t>Böling (HYY)</t>
  </si>
  <si>
    <t>Haapalehto (HYY)</t>
  </si>
  <si>
    <t>Kangas (AYY)</t>
  </si>
  <si>
    <t>Hiekkanen (TTYY)</t>
  </si>
  <si>
    <t>Hannus (HYY)</t>
  </si>
  <si>
    <t>Ruokonen (Tamy)</t>
  </si>
  <si>
    <t>Juvonen (JYY)</t>
  </si>
  <si>
    <t>Miettola (Tamy)</t>
  </si>
  <si>
    <t>Yliranta (OYY)</t>
  </si>
  <si>
    <t>Isotalo (TYY)</t>
  </si>
  <si>
    <t>Toivonen (HYY)</t>
  </si>
  <si>
    <t>Kallio (ÅAS)</t>
  </si>
  <si>
    <t>Isotalo (AYY)</t>
  </si>
  <si>
    <t>Ikäheimo (AYY)</t>
  </si>
  <si>
    <t>Himmanen (Tamy)</t>
  </si>
  <si>
    <t>Hurme (HYY)</t>
  </si>
  <si>
    <t>Lahti (VYY)</t>
  </si>
  <si>
    <t>Viinanen (TTYY)</t>
  </si>
  <si>
    <t>Heinälä (Tamy)</t>
  </si>
  <si>
    <t>Loukonen (TYY)</t>
  </si>
  <si>
    <t>Syrilä (TTYY)</t>
  </si>
  <si>
    <t>Hanhilahti (Tamy)</t>
  </si>
  <si>
    <t>Kalasniemi (AYY)</t>
  </si>
  <si>
    <t>Suonio (TTYY)</t>
  </si>
  <si>
    <t>Tikkala (OYY)</t>
  </si>
  <si>
    <t>Salminen (LTKY)</t>
  </si>
  <si>
    <t>Hakkarainen (OYY)</t>
  </si>
  <si>
    <t>Parkkinen (HYY)</t>
  </si>
  <si>
    <t>Kettunen (ISYY)</t>
  </si>
  <si>
    <t>Hakola (HYY)</t>
  </si>
  <si>
    <t>Norola (HYY)</t>
  </si>
  <si>
    <t>Kettunen (OYY)</t>
  </si>
  <si>
    <t>Rissanen (OYY)</t>
  </si>
  <si>
    <t>Lisätään riville 206 alkaen lause: "Tällä kirjauksella ei puututa muihin eurooppalaisten tutkintojen viitekehysten mukaisia tutkintoja myöntäviin koulutuksen järjestäjiin, mikäli viitekehysten laatustandardien toteutuminen on varmistettu asianmukaisesti."</t>
  </si>
  <si>
    <t>208-209</t>
  </si>
  <si>
    <t>Salmi (AYY)</t>
  </si>
  <si>
    <t>Seppänen (TTYY)</t>
  </si>
  <si>
    <t>Riville 209 päättyvän virkkeen jälkeen: "Korkeakoulutukseen hakeutuvat saavat riittävän informaation erottaakseen liiketaloudellisin perustein toimivat ja muut korkeakoulut selkeästi toisistaan."</t>
  </si>
  <si>
    <t>227-229</t>
  </si>
  <si>
    <t>Myllärinen (ISYY)</t>
  </si>
  <si>
    <t>Hylätään esitetty opintotukea koskeva kirjaus, ja korvataan se virkkeellä "Korotettua opintotukea ei myönnetä opiskelijalle, joka joko suorittaa tosiasiallisesti opintojaan Suomessa tai ilmoittaa asuvansa pysyvästi Suomessa. Ulkomailla opiskeluun tarkoitettua korotettua opintotukea voi saada vain siinä tapauksessa, että opiskelija tosiasiassa asuu ja opiskelee ulkomailla."</t>
  </si>
  <si>
    <t>Karinkanta (HYY)</t>
  </si>
  <si>
    <t>Ittonen (HYY)</t>
  </si>
  <si>
    <t>Lisäys riville 229: "[-- suoritettaviin korkeakouluopintoihin] sekä opintolainan valtiontakausta Maanpuolustuskorkeakoulussa suoritettaviin opintoihin."</t>
  </si>
  <si>
    <t>ks. ed.</t>
  </si>
  <si>
    <t>muut - ks. seur.</t>
  </si>
  <si>
    <t>hallitus</t>
  </si>
  <si>
    <r>
      <t>"</t>
    </r>
    <r>
      <rPr>
        <sz val="8"/>
        <rFont val="Arial"/>
        <family val="2"/>
      </rPr>
      <t xml:space="preserve">Suomessa toimivat korkeakoulutuksen järjestäjät </t>
    </r>
    <r>
      <rPr>
        <b/>
        <sz val="8"/>
        <rFont val="Arial"/>
        <family val="2"/>
      </rPr>
      <t>tarjoavat eurooppalaisen tutkintojen viitekehyksen mukaisia tutkintoja sekä</t>
    </r>
    <r>
      <rPr>
        <sz val="8"/>
        <rFont val="Arial"/>
        <family val="2"/>
      </rPr>
      <t xml:space="preserve"> kuuluvat yliopistolain ja ammattikorkeakoululain määrittelemän </t>
    </r>
    <r>
      <rPr>
        <b/>
        <sz val="8"/>
        <rFont val="Arial"/>
        <family val="2"/>
      </rPr>
      <t xml:space="preserve">tai vastaavan </t>
    </r>
    <r>
      <rPr>
        <sz val="8"/>
        <rFont val="Arial"/>
        <family val="2"/>
      </rPr>
      <t>julkisen sääntelyn piiriin."</t>
    </r>
  </si>
  <si>
    <r>
      <t>Muutetaan riveillä 208-209 olevasta virkkeestä kaksi sanaa: "</t>
    </r>
    <r>
      <rPr>
        <b/>
        <sz val="8"/>
        <rFont val="Arial"/>
        <family val="2"/>
      </rPr>
      <t xml:space="preserve">Laadukas </t>
    </r>
    <r>
      <rPr>
        <sz val="8"/>
        <rFont val="Arial"/>
        <family val="2"/>
      </rPr>
      <t xml:space="preserve">ja yhteiskunnan osaamistarpeet huomioiva korkeakoulujärjestelmä ei jätä </t>
    </r>
    <r>
      <rPr>
        <b/>
        <sz val="8"/>
        <rFont val="Arial"/>
        <family val="2"/>
      </rPr>
      <t>kysyntää</t>
    </r>
    <r>
      <rPr>
        <sz val="8"/>
        <rFont val="Arial"/>
        <family val="2"/>
      </rPr>
      <t xml:space="preserve"> yksilöön kohdistuvalle tutkintokaupalle."</t>
    </r>
  </si>
  <si>
    <r>
      <t>Muutetaan riveillä 208-209 olevasta virkkeestä kaksi sanaa: "Riittävä</t>
    </r>
    <r>
      <rPr>
        <b/>
        <sz val="8"/>
        <rFont val="Arial"/>
        <family val="2"/>
      </rPr>
      <t xml:space="preserve"> </t>
    </r>
    <r>
      <rPr>
        <sz val="8"/>
        <rFont val="Arial"/>
        <family val="2"/>
      </rPr>
      <t xml:space="preserve">ja yhteiskunnan osaamistarpeet </t>
    </r>
    <r>
      <rPr>
        <b/>
        <sz val="8"/>
        <rFont val="Arial"/>
        <family val="2"/>
      </rPr>
      <t xml:space="preserve">täyttävä </t>
    </r>
    <r>
      <rPr>
        <sz val="8"/>
        <rFont val="Arial"/>
        <family val="2"/>
      </rPr>
      <t xml:space="preserve">korkeakoulujärjestelmä ei jätä </t>
    </r>
    <r>
      <rPr>
        <b/>
        <sz val="8"/>
        <rFont val="Arial"/>
        <family val="2"/>
      </rPr>
      <t>kysyntää</t>
    </r>
    <r>
      <rPr>
        <sz val="8"/>
        <rFont val="Arial"/>
        <family val="2"/>
      </rPr>
      <t xml:space="preserve"> yksilöön kohdistuvalle tutkintokaupalle."</t>
    </r>
  </si>
  <si>
    <t>Lisätään riveillä 208-209 olevan virkkeen jälkeen virke "Koulutuksen järjestäjien motiivi ei ole ensisijaisesti liiketaloudellinen, vaan osaamisen ja sivistyksen kasvattaminen."</t>
  </si>
  <si>
    <t>6-14</t>
  </si>
  <si>
    <t>16-17</t>
  </si>
  <si>
    <t>17-18</t>
  </si>
  <si>
    <t>18-19</t>
  </si>
  <si>
    <t>muotoon "Ylioppilasliike vaatii yliopistojen yhteistyötä rakenteelliseen kehittämiseen"</t>
  </si>
  <si>
    <t>korvataan kaksi ensimmäistä kappaletta: "Suomi ei pärjää pelkästään korkeakoulutuksen määrällä, vaan yliopistojen on panostettava ennen kaikkea  opetuksen ja tutkimuksen korkeaan laatuun. Suomen ylioppilaskuntien liiton (SYL) liittokokous huomauttaa, että yliopistojen on yhdessä  kannettava vastuunsa kaikista koulutusaloista. Tiukassakaan taloustilanteessa ei pidä alistua itsekkäälle kilpailulle resursseista, vaan on pyrittävä kokonaisuutta hyödyttävään ratkaisuun. Tämä onnistuu ainoastaan siten, että yliopistot sitoutuvat sopimaan järkevästä työnjaosta. Kaikkien ei tarvitse eikä kannata tehdä kaikkea."</t>
  </si>
  <si>
    <t>ensimmäisen virkkeen tilalle: ”On tärkeää, että yliopisto pystyy tarjoamaan mielekkään laajuisen valikoiman opintoja sekä laadukkaan ja monipuolisen opiskeluympäristön. Opiskelijoiden oikeusturvan kannalta on myös olennaista, että kaikille opiskelijoille tarjotaan tasavertaiset tukipalvelut sekä yhtäläiset mahdollisuudet laadukkaaseen koulutukseen.”</t>
  </si>
  <si>
    <t>ensimmäisen virkkeen tilalle: "Opiskelijoiden oikeusturvan kannalta on olennaista, että yliopisto pystyy tarjoamaan kaikille opiskelijoille mielekkään laajuisen valikoiman opintoja, laadukkaan ja monipuolisen opiskeluympäristön sekä tasavertaiset tukipalvelut."</t>
  </si>
  <si>
    <t>Ahlgren (TYY)</t>
  </si>
  <si>
    <t>12a</t>
  </si>
  <si>
    <t>KANNANOTTO (ASIAKIRJA 12A)</t>
  </si>
  <si>
    <t>YHTEISKANNANOTTO (ASIAKIRJA 12B)</t>
  </si>
  <si>
    <t>TALOUSARVIO (ASIAKIRJA NUMERO 10)</t>
  </si>
  <si>
    <t>TOIMINTASUUNNITELMA (ASIAKIRJA NUMERO 08A)</t>
  </si>
  <si>
    <t>LINJAPAPERI (ASIAKIRJA NUMERO 07)</t>
  </si>
  <si>
    <t>LIITTOKOKOUS 2012 - MUUTOSESITYKSET</t>
  </si>
  <si>
    <t xml:space="preserve">Lisätään kannanottoon jälkikirjoitus:
N! P! T!
</t>
  </si>
  <si>
    <t>Hyv = esitetään hyväksyttäväksi. Hyl = esitetään hylättäväksi. Muut = esitetään hyväksyttäväksi muutoksin. Ei käs = hallitus ei käsitellyt, koska esitys työryhmä ei hyväksynyt esitystä.</t>
  </si>
  <si>
    <t>Huldén (SHS)</t>
  </si>
  <si>
    <t>Muutetaan kohta "opintotuen yhteensovittamista muiden etuuksien…" muotoon "opintotuen yhteensovittamista työelämän ja muiden etuuksien kanssa kehitetään."</t>
  </si>
  <si>
    <t>Markkanen (Tamy)</t>
  </si>
  <si>
    <t>79-82 korvataan seuraavalla kappaleella: "SYL:n keskustoimisto koordinoi ja seuraa visiointityötä. Työhön osallistuvat ylioppilaskunnat, ylioppilasliikkeen alumnitoimijat ja muut sidosryhmät. Työn tuloksena luodaan käytännöt jatkuvan toiminnan käynnistämiseksi."</t>
  </si>
  <si>
    <t>ponsi</t>
  </si>
  <si>
    <t>Kaleva (Tamy)</t>
  </si>
  <si>
    <t>Tämän ponnen hyväksyessään liittokokous edellyttää, että Suomen ylioppilaskuntien liiton hallitus parantaa ja yhdenmukaistaa liiton tiedottamiskäytäntöjä ja yhteydenpitoa ylioppilaskuntiin etenkin edunvalvontakysymyksissä tulevan vuoden aikana. Yhteydenpitoa ja tiedotusta varten laaditaan selkeä ja yhtenäinen malli. SYL mahdollistaa
niin ylioppilaskuntien kuin SYL:nkin asiantuntijuuden ja materiaalien saamisen yhteiseen käyttöön.</t>
  </si>
  <si>
    <t>Tämän ponnen hyväksyessään liittokokous velvoittaa SYL:n hallituksen aktivoitumaan jatkuvassa toiminnassaan akateemisen yrittäjyyden osalta.
Yrittäjyys, ja varsinkin yliopisto-opiskelijoiden kohdalla akateeminen yrittäjyys, on ollut paljon esillä keskusteluissa, niin kansallisesti kuin kansainvälisesti. Viime vuonna SYL:n työelämävastaava Janne Koskenniemi aloitti työn akateemisen yrittäjyyden osalta, mutta
tänä vuonna ei jo avattuista keskustelukanavista ole pidetty huolta. Ponnen tarkoituksena ei ole kuormittaa nuorta ja eläkekysymyksien kanssa painivaa sektoria entisestään, vaan pikemminkin pitää huolta ja avata uusia keskustelukanavia, joiden avulla paikalliset ylioppilaskunnat voivat helposti vaikuttaa ja valvoa oman yliopistonsa painiskeluja yrittäjyyden tukemisessa.</t>
  </si>
  <si>
    <t>125-126</t>
  </si>
  <si>
    <t>sanat ", vaan kokeilu lopetetaan viimeistään 2014."</t>
  </si>
  <si>
    <t>Sulin (TYY)</t>
  </si>
  <si>
    <t>Tanskanen (LYY)</t>
  </si>
  <si>
    <t>Tämän ponnen hyväksyessään SYL:n liittokokous velvoittaa SYL:n  
hallituksen lisäämään toimintasuunnitelman jatkuvan toiminnan  
kuvaukseen uuden sarakkeen, jossa viitataan SYL:n linjapaperin kohtiin  
joissa kyseisiä asioita käsitellään.</t>
  </si>
  <si>
    <t>MUUT ASIAT</t>
  </si>
  <si>
    <t>Karppanen (TTYY)</t>
  </si>
  <si>
    <t>Tämän ponnen hyväksyessään liittokokous asettaa hallituksen kontolle tuoda ja muuten aina kunniallisen mafian tavoin pakottaa vuonna 2013 syntyvän Taideyliopiston ylioppilaskunnan ensimmäinen liittokokousdelegaatio esiintymään tai muuten viihdyttämään Suomen mafian liittokokousta spektaakkelin eli niin kutsutun proggiksen muodossa. Näin toimiessaan tulee uuden ylioppilaskunnan vakuuttaa mafia erinomaisuudestaan osallistua toimintaan tasavertaisena jäsenenä.</t>
  </si>
  <si>
    <t>Hussi (AYY)</t>
  </si>
  <si>
    <t>Okkonen (ISYY)</t>
  </si>
  <si>
    <t xml:space="preserve">Tämän ponnen hyväksyessään liittokokous velvoittaa Suomen ylioppilaskuntien liittoa astumaan tiedon valtatielle. Tämä uusi valtatie tuo tullessaan käytännölliset ja helppokäyttöiset nettilomakkeet, virtaviivaiset ja nopeat ilmoittautumislomakkeet sekä elävän ja innostavan sähköisen materiaalipankin. Näille tavoitteille äänensä antoi myös moni hallitukseen pyrkinyt paremman viestinnän puolesta puhuessaan sekä moni ylioppilaskuntien työntekijä savuisten saluunoiden nurkissa nuristessaan. 
On aika siirtyä sähköpostin liitetiedostojen ja skannaamista vaativien lomakkeiden ajasta kohti sähköistä yhteiskuntaa. Meidän, opiskelijoiden yhteiskuntaa.
</t>
  </si>
  <si>
    <t>Tämän ponnen hyväksyessään SYL:n liittokokous edellyttää, että tästä lähtien liittokokouksissa jaettavat viralliset dokumentit ovat jaossa hyvän hallintotavan mukaisesti ja niiden jakamisesta tiedotetaan kunnolla.
Dokumentit tulisi ensisijaisesti jakaa SYL:n omien järjestelmien kautta. Jotta dokumentteihin pääsee käsiksi, ei voida edellyttää rekisteröitymistä kolmannen osapuolen järjestelmään ja omien henkilötietojen luovuttamista tälle kolmannelle osapuolelle. Lisäksi SYL:n tulee pitää huolta, että dokumenttien juridinen omistussuhde pysyy SYL:lla myös sähköisenä versiona.
Dokumenttien jakamisesta tulisi myös tiedottaa etukäteen, vähintään jokaisen liittokokousdelegaation yhteyshenkilölle.</t>
  </si>
  <si>
    <t>(samansisältöinen)</t>
  </si>
  <si>
    <t>Tämän ponnen hyväksyessään Suomen ylioppilaskuntien liitto (SYL) ry:n liittokokous velvoittaa Suomen ylioppilaskuntien liitto (SYL) ry:n hallitusta toimittamaan keskeiset liittokokousmateriaalit vastaisuudessa myös englanniksi.</t>
  </si>
  <si>
    <t>af Hällström (AYY)</t>
  </si>
  <si>
    <t>Lipa</t>
  </si>
  <si>
    <t>Tosu</t>
  </si>
  <si>
    <t>Ponnet</t>
  </si>
  <si>
    <t>Esitykset</t>
  </si>
  <si>
    <t>Talousarvio</t>
  </si>
  <si>
    <t>Kannanotot</t>
  </si>
  <si>
    <t>Yhteiskannanotto</t>
  </si>
  <si>
    <t>Esityksiä läpi</t>
  </si>
  <si>
    <t>Esityksiä läpi muutoksin</t>
  </si>
  <si>
    <t>Kaikki yhteensä</t>
  </si>
  <si>
    <t>Kangasniemi (</t>
  </si>
  <si>
    <t>Vesterinen (</t>
  </si>
  <si>
    <t>Yht.</t>
  </si>
  <si>
    <t>Läpäisy</t>
  </si>
  <si>
    <t>Kannatukset</t>
  </si>
  <si>
    <t>Kannatuksia läpi</t>
  </si>
  <si>
    <t>Kannatuksia läpi muutoksin</t>
  </si>
  <si>
    <t>(AYY)</t>
  </si>
  <si>
    <t>(HYY)</t>
  </si>
  <si>
    <t>(ISYY)</t>
  </si>
  <si>
    <t>(JYY)</t>
  </si>
  <si>
    <t>(KUVYO)</t>
  </si>
  <si>
    <t>(LYY)</t>
  </si>
  <si>
    <t>(LTKY)</t>
  </si>
  <si>
    <t>(OYY)</t>
  </si>
  <si>
    <t>(SAY)</t>
  </si>
  <si>
    <t>(SHS)</t>
  </si>
  <si>
    <t>(TTYY)</t>
  </si>
  <si>
    <t>(Tamy)</t>
  </si>
  <si>
    <t>(TeYO)</t>
  </si>
  <si>
    <t>(TYY)</t>
  </si>
  <si>
    <t>(VYY)</t>
  </si>
  <si>
    <t>(ÅAS)</t>
  </si>
  <si>
    <t>(SKY)</t>
  </si>
  <si>
    <t>kaikista</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</si>
</sst>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0"/>
      <name val="Arial"/>
      <family val="2"/>
    </font>
    <font>
      <sz val="8"/>
      <name val="Arial"/>
      <family val="2"/>
    </font>
    <font>
      <b/>
      <sz val="8"/>
      <name val="Arial"/>
      <family val="2"/>
    </font>
    <font>
      <i/>
      <sz val="8"/>
      <name val="Arial"/>
      <family val="2"/>
    </font>
    <font>
      <sz val="10"/>
      <name val="Arial"/>
      <family val="2"/>
    </font>
    <font>
      <b/>
      <sz val="10"/>
      <name val="Arial"/>
      <family val="2"/>
    </font>
  </fonts>
  <fills count="3">
    <fill>
      <patternFill patternType="none"/>
    </fill>
    <fill>
      <patternFill patternType="gray125"/>
    </fill>
    <fill>
      <patternFill patternType="solid">
        <fgColor theme="0"/>
        <bgColor indexed="64"/>
      </patternFill>
    </fill>
  </fills>
  <borders count="7">
    <border>
      <left/>
      <right/>
      <top/>
      <bottom/>
      <diagonal/>
    </border>
    <border>
      <left style="hair">
        <color indexed="8"/>
      </left>
      <right style="hair">
        <color indexed="8"/>
      </right>
      <top style="hair">
        <color indexed="8"/>
      </top>
      <bottom style="hair">
        <color indexed="8"/>
      </bottom>
      <diagonal/>
    </border>
    <border>
      <left style="hair">
        <color indexed="8"/>
      </left>
      <right style="hair">
        <color indexed="8"/>
      </right>
      <top style="hair">
        <color indexed="8"/>
      </top>
      <bottom style="medium">
        <color indexed="64"/>
      </bottom>
      <diagonal/>
    </border>
    <border>
      <left style="hair">
        <color indexed="8"/>
      </left>
      <right style="hair">
        <color indexed="8"/>
      </right>
      <top/>
      <bottom style="hair">
        <color indexed="8"/>
      </bottom>
      <diagonal/>
    </border>
    <border>
      <left style="hair">
        <color indexed="8"/>
      </left>
      <right style="hair">
        <color indexed="8"/>
      </right>
      <top/>
      <bottom/>
      <diagonal/>
    </border>
    <border>
      <left style="hair">
        <color indexed="8"/>
      </left>
      <right style="hair">
        <color indexed="8"/>
      </right>
      <top/>
      <bottom style="medium">
        <color indexed="64"/>
      </bottom>
      <diagonal/>
    </border>
    <border>
      <left style="hair">
        <color indexed="8"/>
      </left>
      <right style="hair">
        <color indexed="8"/>
      </right>
      <top style="hair">
        <color indexed="8"/>
      </top>
      <bottom/>
      <diagonal/>
    </border>
  </borders>
  <cellStyleXfs count="2">
    <xf numFmtId="0" fontId="0" fillId="0" borderId="0"/>
    <xf numFmtId="0" fontId="4" fillId="0" borderId="0"/>
  </cellStyleXfs>
  <cellXfs count="94">
    <xf numFmtId="0" fontId="0" fillId="0" borderId="0" xfId="0"/>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2" fillId="0" borderId="0" xfId="0" applyFont="1" applyBorder="1" applyAlignment="1" applyProtection="1">
      <alignment vertical="top"/>
      <protection locked="0"/>
    </xf>
    <xf numFmtId="0" fontId="2" fillId="0" borderId="0" xfId="0" applyFont="1" applyBorder="1" applyAlignment="1">
      <alignment vertical="top"/>
    </xf>
    <xf numFmtId="0" fontId="2" fillId="0" borderId="1" xfId="0" applyFont="1" applyBorder="1" applyAlignment="1">
      <alignment vertical="top" wrapText="1"/>
    </xf>
    <xf numFmtId="0" fontId="2" fillId="0" borderId="1" xfId="0" applyFont="1" applyBorder="1" applyAlignment="1">
      <alignment vertical="top"/>
    </xf>
    <xf numFmtId="0" fontId="2" fillId="0" borderId="0" xfId="0" applyFont="1" applyBorder="1" applyAlignment="1">
      <alignment vertical="top" wrapText="1"/>
    </xf>
    <xf numFmtId="0" fontId="1" fillId="0" borderId="0" xfId="0" applyFont="1" applyBorder="1" applyAlignment="1">
      <alignment vertical="top" wrapText="1"/>
    </xf>
    <xf numFmtId="0" fontId="2" fillId="0" borderId="1" xfId="0" applyFont="1" applyBorder="1" applyAlignment="1" applyProtection="1">
      <alignment vertical="top"/>
      <protection locked="0"/>
    </xf>
    <xf numFmtId="0" fontId="1" fillId="0" borderId="0" xfId="0" applyFont="1" applyAlignment="1">
      <alignment vertical="top"/>
    </xf>
    <xf numFmtId="0" fontId="1" fillId="0" borderId="0" xfId="0" applyFont="1" applyAlignment="1">
      <alignment vertical="top" wrapText="1"/>
    </xf>
    <xf numFmtId="0" fontId="1" fillId="0" borderId="1" xfId="0" applyFont="1" applyFill="1" applyBorder="1" applyAlignment="1">
      <alignment vertical="top" wrapText="1"/>
    </xf>
    <xf numFmtId="0" fontId="1" fillId="0" borderId="1" xfId="1" applyFont="1" applyBorder="1" applyAlignment="1" applyProtection="1">
      <alignment vertical="top"/>
      <protection locked="0"/>
    </xf>
    <xf numFmtId="0" fontId="1" fillId="0" borderId="1" xfId="1" applyFont="1" applyBorder="1" applyAlignment="1">
      <alignment vertical="top"/>
    </xf>
    <xf numFmtId="0" fontId="1" fillId="0" borderId="1" xfId="1" applyFont="1" applyBorder="1" applyAlignment="1">
      <alignment vertical="top" wrapText="1"/>
    </xf>
    <xf numFmtId="0" fontId="1" fillId="0" borderId="3" xfId="1" applyFont="1" applyBorder="1" applyAlignment="1" applyProtection="1">
      <alignment vertical="top"/>
      <protection locked="0"/>
    </xf>
    <xf numFmtId="0" fontId="1" fillId="0" borderId="3" xfId="1" applyFont="1" applyBorder="1" applyAlignment="1">
      <alignment vertical="top"/>
    </xf>
    <xf numFmtId="0" fontId="1" fillId="0" borderId="3" xfId="1" applyFont="1" applyBorder="1" applyAlignment="1">
      <alignment vertical="top" wrapText="1"/>
    </xf>
    <xf numFmtId="0" fontId="1" fillId="0" borderId="3" xfId="0" applyFont="1" applyBorder="1" applyAlignment="1">
      <alignment vertical="top"/>
    </xf>
    <xf numFmtId="0" fontId="1" fillId="0" borderId="2" xfId="0" applyFont="1" applyBorder="1" applyAlignment="1" applyProtection="1">
      <alignment vertical="top"/>
      <protection locked="0"/>
    </xf>
    <xf numFmtId="0" fontId="1" fillId="0" borderId="2" xfId="0" applyFont="1" applyBorder="1" applyAlignment="1">
      <alignment vertical="top"/>
    </xf>
    <xf numFmtId="0" fontId="1" fillId="0" borderId="2" xfId="0" applyFont="1" applyBorder="1" applyAlignment="1">
      <alignment vertical="top" wrapText="1"/>
    </xf>
    <xf numFmtId="0" fontId="1" fillId="0" borderId="3" xfId="0" applyFont="1" applyBorder="1" applyAlignment="1" applyProtection="1">
      <alignment vertical="top"/>
      <protection locked="0"/>
    </xf>
    <xf numFmtId="0" fontId="1" fillId="0" borderId="3" xfId="0" applyFont="1" applyBorder="1" applyAlignment="1">
      <alignment vertical="top" wrapText="1"/>
    </xf>
    <xf numFmtId="0" fontId="1" fillId="0" borderId="2" xfId="1" applyFont="1" applyBorder="1" applyAlignment="1" applyProtection="1">
      <alignment vertical="top"/>
      <protection locked="0"/>
    </xf>
    <xf numFmtId="0" fontId="1" fillId="0" borderId="2" xfId="1" applyFont="1" applyBorder="1" applyAlignment="1">
      <alignment vertical="top"/>
    </xf>
    <xf numFmtId="0" fontId="1" fillId="0" borderId="2" xfId="1" applyFont="1" applyBorder="1" applyAlignment="1">
      <alignment vertical="top" wrapText="1"/>
    </xf>
    <xf numFmtId="0" fontId="1" fillId="0" borderId="4" xfId="0" applyFont="1" applyFill="1" applyBorder="1" applyAlignment="1">
      <alignment vertical="top"/>
    </xf>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1" xfId="0" applyFont="1" applyBorder="1" applyAlignment="1" applyProtection="1">
      <alignment horizontal="left" vertical="top"/>
      <protection locked="0"/>
    </xf>
    <xf numFmtId="0" fontId="1" fillId="0" borderId="2" xfId="0" applyFont="1" applyBorder="1" applyAlignment="1" applyProtection="1">
      <alignment horizontal="left" vertical="top"/>
      <protection locked="0"/>
    </xf>
    <xf numFmtId="0" fontId="1" fillId="0" borderId="5" xfId="0" applyFont="1" applyFill="1" applyBorder="1" applyAlignment="1">
      <alignment vertical="top"/>
    </xf>
    <xf numFmtId="0" fontId="1" fillId="0" borderId="2" xfId="0" applyFont="1" applyFill="1" applyBorder="1" applyAlignment="1">
      <alignment vertical="top" wrapText="1"/>
    </xf>
    <xf numFmtId="0" fontId="2" fillId="0" borderId="3" xfId="0" applyFont="1" applyBorder="1" applyAlignment="1" applyProtection="1">
      <alignment vertical="top"/>
      <protection locked="0"/>
    </xf>
    <xf numFmtId="0" fontId="1" fillId="0" borderId="3" xfId="0" applyFont="1" applyBorder="1" applyAlignment="1" applyProtection="1">
      <alignment horizontal="left" vertical="top"/>
      <protection locked="0"/>
    </xf>
    <xf numFmtId="0" fontId="5" fillId="0" borderId="1" xfId="0" applyFont="1" applyBorder="1" applyAlignment="1" applyProtection="1">
      <alignment vertical="top"/>
      <protection locked="0"/>
    </xf>
    <xf numFmtId="17" fontId="1" fillId="0" borderId="1" xfId="0" applyNumberFormat="1" applyFont="1" applyBorder="1" applyAlignment="1" applyProtection="1">
      <alignment vertical="top"/>
      <protection locked="0"/>
    </xf>
    <xf numFmtId="0" fontId="1" fillId="2" borderId="1" xfId="0" applyFont="1" applyFill="1" applyBorder="1" applyAlignment="1" applyProtection="1">
      <alignment vertical="top"/>
      <protection locked="0"/>
    </xf>
    <xf numFmtId="0" fontId="0" fillId="0" borderId="0" xfId="0"/>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2" fillId="0" borderId="0" xfId="0" applyFont="1" applyBorder="1" applyAlignment="1" applyProtection="1">
      <alignment vertical="top"/>
      <protection locked="0"/>
    </xf>
    <xf numFmtId="0" fontId="2" fillId="0" borderId="0" xfId="0" applyFont="1" applyBorder="1" applyAlignment="1">
      <alignment vertical="top"/>
    </xf>
    <xf numFmtId="0" fontId="2" fillId="0" borderId="1" xfId="0" applyFont="1" applyBorder="1" applyAlignment="1">
      <alignment vertical="top" wrapText="1"/>
    </xf>
    <xf numFmtId="0" fontId="2" fillId="0" borderId="1" xfId="0" applyFont="1" applyBorder="1" applyAlignment="1">
      <alignment vertical="top"/>
    </xf>
    <xf numFmtId="0" fontId="2" fillId="0" borderId="0"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vertical="top" wrapText="1"/>
    </xf>
    <xf numFmtId="49" fontId="1" fillId="0" borderId="1" xfId="0" applyNumberFormat="1" applyFont="1" applyBorder="1" applyAlignment="1" applyProtection="1">
      <alignment vertical="top"/>
      <protection locked="0"/>
    </xf>
    <xf numFmtId="0" fontId="2" fillId="0" borderId="1" xfId="0" applyFont="1" applyBorder="1" applyAlignment="1">
      <alignment horizontal="right" vertical="top"/>
    </xf>
    <xf numFmtId="0" fontId="2" fillId="0" borderId="0" xfId="0" applyFont="1" applyBorder="1" applyAlignment="1">
      <alignment horizontal="right" vertical="top"/>
    </xf>
    <xf numFmtId="0" fontId="1" fillId="0" borderId="1" xfId="0" applyFont="1" applyBorder="1" applyAlignment="1">
      <alignment horizontal="right" vertical="top"/>
    </xf>
    <xf numFmtId="0" fontId="1" fillId="0" borderId="2" xfId="0" applyFont="1" applyBorder="1" applyAlignment="1">
      <alignment horizontal="right" vertical="top"/>
    </xf>
    <xf numFmtId="0" fontId="1" fillId="0" borderId="3" xfId="0" applyFont="1" applyBorder="1" applyAlignment="1">
      <alignment horizontal="right" vertical="top"/>
    </xf>
    <xf numFmtId="0" fontId="1" fillId="0" borderId="0" xfId="0" applyFont="1" applyAlignment="1">
      <alignment horizontal="right" vertical="top"/>
    </xf>
    <xf numFmtId="0" fontId="2" fillId="0" borderId="1" xfId="0" applyFont="1" applyBorder="1" applyAlignment="1">
      <alignment horizontal="right" vertical="top" wrapText="1"/>
    </xf>
    <xf numFmtId="0" fontId="1" fillId="0" borderId="1" xfId="0" applyFont="1" applyBorder="1" applyAlignment="1">
      <alignment horizontal="right" vertical="top" wrapText="1"/>
    </xf>
    <xf numFmtId="0" fontId="5" fillId="0" borderId="3" xfId="0" applyFont="1" applyBorder="1" applyAlignment="1" applyProtection="1">
      <alignment vertical="top"/>
      <protection locked="0"/>
    </xf>
    <xf numFmtId="0" fontId="1" fillId="0" borderId="4" xfId="0" applyFont="1" applyBorder="1" applyAlignment="1" applyProtection="1">
      <alignment vertical="top"/>
      <protection locked="0"/>
    </xf>
    <xf numFmtId="0" fontId="1" fillId="0" borderId="4" xfId="0" applyFont="1" applyBorder="1" applyAlignment="1">
      <alignment vertical="top" wrapText="1"/>
    </xf>
    <xf numFmtId="0" fontId="1" fillId="0" borderId="4" xfId="0" applyFont="1" applyBorder="1" applyAlignment="1">
      <alignment vertical="top"/>
    </xf>
    <xf numFmtId="0" fontId="1" fillId="0" borderId="4" xfId="0" applyFont="1" applyBorder="1" applyAlignment="1">
      <alignment horizontal="right" vertical="top"/>
    </xf>
    <xf numFmtId="0" fontId="5" fillId="0" borderId="1" xfId="0" applyFont="1" applyBorder="1" applyAlignment="1">
      <alignment vertical="top" wrapText="1"/>
    </xf>
    <xf numFmtId="17" fontId="1" fillId="0" borderId="1" xfId="0" applyNumberFormat="1" applyFont="1" applyBorder="1" applyAlignment="1" applyProtection="1">
      <alignment vertical="top" wrapText="1"/>
      <protection locked="0"/>
    </xf>
    <xf numFmtId="0" fontId="1" fillId="0" borderId="6" xfId="0" applyFont="1" applyBorder="1" applyAlignment="1" applyProtection="1">
      <alignment vertical="top"/>
      <protection locked="0"/>
    </xf>
    <xf numFmtId="0" fontId="1" fillId="0" borderId="6" xfId="0" applyFont="1" applyBorder="1" applyAlignment="1">
      <alignment vertical="top" wrapText="1"/>
    </xf>
    <xf numFmtId="0" fontId="1" fillId="0" borderId="6" xfId="0" applyFont="1" applyBorder="1" applyAlignment="1">
      <alignment vertical="top"/>
    </xf>
    <xf numFmtId="0" fontId="1" fillId="0" borderId="6" xfId="0" applyFont="1" applyFill="1" applyBorder="1" applyAlignment="1">
      <alignment vertical="top" wrapText="1"/>
    </xf>
    <xf numFmtId="0" fontId="1" fillId="0" borderId="6" xfId="0" applyFont="1" applyBorder="1" applyAlignment="1">
      <alignment horizontal="right" vertical="top"/>
    </xf>
    <xf numFmtId="0" fontId="1" fillId="0" borderId="3" xfId="0" applyFont="1" applyFill="1" applyBorder="1" applyAlignment="1">
      <alignment vertical="top" wrapText="1"/>
    </xf>
    <xf numFmtId="0" fontId="1" fillId="0" borderId="0" xfId="0" applyFont="1" applyBorder="1" applyAlignment="1" applyProtection="1">
      <alignment vertical="top"/>
      <protection locked="0"/>
    </xf>
    <xf numFmtId="0" fontId="1" fillId="0" borderId="0" xfId="0" applyFont="1" applyBorder="1" applyAlignment="1">
      <alignment vertical="top"/>
    </xf>
    <xf numFmtId="0" fontId="1" fillId="0" borderId="0" xfId="0" applyFont="1" applyBorder="1" applyAlignment="1">
      <alignment horizontal="right" vertical="top"/>
    </xf>
    <xf numFmtId="0" fontId="1" fillId="0" borderId="6" xfId="0" applyFont="1" applyBorder="1" applyAlignment="1" applyProtection="1">
      <alignment vertical="top" wrapText="1"/>
      <protection locked="0"/>
    </xf>
    <xf numFmtId="0" fontId="1" fillId="0" borderId="5" xfId="0" applyFont="1" applyBorder="1" applyAlignment="1" applyProtection="1">
      <alignment vertical="top"/>
      <protection locked="0"/>
    </xf>
    <xf numFmtId="0" fontId="1" fillId="0" borderId="5" xfId="0" applyFont="1" applyBorder="1" applyAlignment="1">
      <alignment vertical="top" wrapText="1"/>
    </xf>
    <xf numFmtId="0" fontId="1" fillId="0" borderId="5" xfId="0" applyFont="1" applyBorder="1" applyAlignment="1">
      <alignment vertical="top"/>
    </xf>
    <xf numFmtId="0" fontId="1" fillId="0" borderId="5" xfId="0" applyFont="1" applyBorder="1" applyAlignment="1">
      <alignment horizontal="right" vertical="top"/>
    </xf>
    <xf numFmtId="0" fontId="2" fillId="0" borderId="6" xfId="0" applyFont="1" applyBorder="1" applyAlignment="1">
      <alignment vertical="top" wrapText="1"/>
    </xf>
    <xf numFmtId="0" fontId="2" fillId="0" borderId="6" xfId="0" applyFont="1" applyBorder="1" applyAlignment="1" applyProtection="1">
      <alignment vertical="top"/>
      <protection locked="0"/>
    </xf>
    <xf numFmtId="0" fontId="2" fillId="0" borderId="3" xfId="0" applyFont="1" applyBorder="1" applyAlignment="1">
      <alignment vertical="top" wrapText="1"/>
    </xf>
    <xf numFmtId="0" fontId="2" fillId="0" borderId="2" xfId="0" applyFont="1" applyBorder="1" applyAlignment="1">
      <alignment vertical="top" wrapText="1"/>
    </xf>
    <xf numFmtId="0" fontId="2" fillId="0" borderId="1" xfId="1" applyFont="1" applyBorder="1" applyAlignment="1">
      <alignment vertical="top" wrapText="1"/>
    </xf>
    <xf numFmtId="0" fontId="2" fillId="0" borderId="4" xfId="0" applyFont="1" applyBorder="1" applyAlignment="1">
      <alignment vertical="top" wrapText="1"/>
    </xf>
    <xf numFmtId="0" fontId="2" fillId="0" borderId="5" xfId="0" applyFont="1" applyBorder="1" applyAlignment="1">
      <alignment vertical="top" wrapText="1"/>
    </xf>
    <xf numFmtId="10" fontId="0" fillId="0" borderId="0" xfId="0" applyNumberFormat="1"/>
    <xf numFmtId="10" fontId="0" fillId="0" borderId="0" xfId="0" applyNumberFormat="1"/>
    <xf numFmtId="10" fontId="0" fillId="0" borderId="0" xfId="0" applyNumberFormat="1"/>
  </cellXfs>
  <cellStyles count="2">
    <cellStyle name="Excel Built-in Normal" xfId="1"/>
    <cellStyle name="Normal" xfId="0" builtinId="0"/>
  </cellStyles>
  <dxfs count="5">
    <dxf>
      <font>
        <condense val="0"/>
        <extend val="0"/>
        <color rgb="FF006100"/>
      </font>
      <fill>
        <patternFill>
          <bgColor rgb="FFC6EF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
  <sheetViews>
    <sheetView tabSelected="1" workbookViewId="0">
      <selection activeCell="I10" sqref="I10"/>
    </sheetView>
  </sheetViews>
  <sheetFormatPr defaultRowHeight="12.75" x14ac:dyDescent="0.2"/>
  <cols>
    <col min="1" max="1" width="21.7109375" bestFit="1" customWidth="1"/>
  </cols>
  <sheetData>
    <row r="1" spans="1:8" x14ac:dyDescent="0.2">
      <c r="A1" t="s">
        <v>192</v>
      </c>
      <c r="B1" t="s">
        <v>183</v>
      </c>
      <c r="C1" t="s">
        <v>184</v>
      </c>
      <c r="D1" t="s">
        <v>187</v>
      </c>
      <c r="E1" t="s">
        <v>188</v>
      </c>
      <c r="F1" t="s">
        <v>189</v>
      </c>
      <c r="G1" t="s">
        <v>185</v>
      </c>
      <c r="H1" t="s">
        <v>195</v>
      </c>
    </row>
    <row r="2" spans="1:8" x14ac:dyDescent="0.2">
      <c r="A2" t="s">
        <v>186</v>
      </c>
      <c r="B2">
        <v>6</v>
      </c>
      <c r="C2">
        <v>36</v>
      </c>
      <c r="D2">
        <v>2</v>
      </c>
      <c r="E2">
        <v>11</v>
      </c>
      <c r="F2">
        <v>1</v>
      </c>
      <c r="G2">
        <v>7</v>
      </c>
      <c r="H2">
        <f t="shared" ref="H2:H4" si="0">SUM(B2:G2)</f>
        <v>63</v>
      </c>
    </row>
    <row r="3" spans="1:8" x14ac:dyDescent="0.2">
      <c r="A3" t="s">
        <v>190</v>
      </c>
      <c r="B3">
        <v>2</v>
      </c>
      <c r="C3">
        <v>24</v>
      </c>
      <c r="D3">
        <v>0</v>
      </c>
      <c r="E3">
        <v>2</v>
      </c>
      <c r="F3">
        <v>0</v>
      </c>
      <c r="G3">
        <v>5</v>
      </c>
      <c r="H3">
        <f t="shared" si="0"/>
        <v>33</v>
      </c>
    </row>
    <row r="4" spans="1:8" x14ac:dyDescent="0.2">
      <c r="A4" t="s">
        <v>191</v>
      </c>
      <c r="B4">
        <v>2</v>
      </c>
      <c r="C4">
        <v>0</v>
      </c>
      <c r="D4">
        <v>0</v>
      </c>
      <c r="E4">
        <v>1</v>
      </c>
      <c r="F4">
        <v>0</v>
      </c>
      <c r="G4">
        <v>0</v>
      </c>
      <c r="H4">
        <f t="shared" si="0"/>
        <v>3</v>
      </c>
    </row>
    <row r="5" spans="1:8" x14ac:dyDescent="0.2">
      <c r="A5" t="s">
        <v>196</v>
      </c>
      <c r="B5" s="91">
        <f t="shared" ref="B5:H5" si="1">SUM(B3:B4)/B2</f>
        <v>0.66666666666666663</v>
      </c>
      <c r="C5" s="91">
        <f t="shared" si="1"/>
        <v>0.66666666666666663</v>
      </c>
      <c r="D5" s="91">
        <f t="shared" si="1"/>
        <v>0</v>
      </c>
      <c r="E5" s="91">
        <f t="shared" si="1"/>
        <v>0.27272727272727271</v>
      </c>
      <c r="F5" s="91">
        <f t="shared" si="1"/>
        <v>0</v>
      </c>
      <c r="G5" s="91">
        <f t="shared" si="1"/>
        <v>0.7142857142857143</v>
      </c>
      <c r="H5" s="91">
        <f t="shared" si="1"/>
        <v>0.5714285714285714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216</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215</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1</v>
      </c>
      <c r="G2" s="92">
        <f>F2/Kaikki!D2</f>
        <v>0.5</v>
      </c>
      <c r="H2">
        <v>1</v>
      </c>
      <c r="I2" s="92">
        <f>H2/Kaikki!E2</f>
        <v>9.0909090909090912E-2</v>
      </c>
      <c r="J2">
        <v>0</v>
      </c>
      <c r="K2" s="92">
        <f>J2/Kaikki!F2</f>
        <v>0</v>
      </c>
      <c r="L2">
        <v>0</v>
      </c>
      <c r="M2" s="92">
        <f>L2/Kaikki!G2</f>
        <v>0</v>
      </c>
      <c r="N2">
        <f t="shared" ref="N2:N4" si="0">SUM(B2,D2,F2,H2,J2,L2)</f>
        <v>2</v>
      </c>
      <c r="O2" s="92">
        <f>N2/Kaikki!H2</f>
        <v>3.1746031746031744E-2</v>
      </c>
    </row>
    <row r="3" spans="1:15" x14ac:dyDescent="0.2">
      <c r="A3" t="s">
        <v>190</v>
      </c>
      <c r="B3">
        <v>0</v>
      </c>
      <c r="C3" s="93">
        <f>(B3+B4)/(Kaikki!B3+Kaikki!B4)</f>
        <v>0</v>
      </c>
      <c r="D3">
        <v>0</v>
      </c>
      <c r="E3" s="93">
        <f>(D3+D4)/(Kaikki!C3+Kaikki!C4)</f>
        <v>0</v>
      </c>
      <c r="F3">
        <v>0</v>
      </c>
      <c r="G3" s="93" t="e">
        <f>(F3+F4)/(Kaikki!D3+Kaikki!D4)</f>
        <v>#DIV/0!</v>
      </c>
      <c r="H3">
        <v>0</v>
      </c>
      <c r="I3" s="93">
        <f>(H3+H4)/(Kaikki!E3+Kaikki!E4)</f>
        <v>0.33333333333333331</v>
      </c>
      <c r="J3">
        <v>0</v>
      </c>
      <c r="K3" s="93" t="e">
        <f>(J3+J4)/(Kaikki!F3+Kaikki!F4)</f>
        <v>#DIV/0!</v>
      </c>
      <c r="L3">
        <v>0</v>
      </c>
      <c r="M3" s="93">
        <f>(L3+L4)/(Kaikki!G3+Kaikki!G4)</f>
        <v>0</v>
      </c>
      <c r="N3">
        <f t="shared" si="0"/>
        <v>0</v>
      </c>
      <c r="O3" s="93">
        <f>(N3+N4)/(Kaikki!H3+Kaikki!H4)</f>
        <v>2.7777777777777776E-2</v>
      </c>
    </row>
    <row r="4" spans="1:15" x14ac:dyDescent="0.2">
      <c r="A4" t="s">
        <v>191</v>
      </c>
      <c r="B4">
        <v>0</v>
      </c>
      <c r="C4" s="93"/>
      <c r="D4">
        <v>0</v>
      </c>
      <c r="E4" s="93"/>
      <c r="F4">
        <v>0</v>
      </c>
      <c r="G4" s="93"/>
      <c r="H4">
        <v>1</v>
      </c>
      <c r="I4" s="93"/>
      <c r="J4">
        <v>0</v>
      </c>
      <c r="K4" s="93"/>
      <c r="L4">
        <v>0</v>
      </c>
      <c r="M4" s="93"/>
      <c r="N4">
        <f t="shared" si="0"/>
        <v>1</v>
      </c>
      <c r="O4" s="93"/>
    </row>
    <row r="5" spans="1:15" x14ac:dyDescent="0.2">
      <c r="A5" t="s">
        <v>196</v>
      </c>
      <c r="B5" s="92" t="e">
        <f>SUM(B3:B4)/B2</f>
        <v>#DIV/0!</v>
      </c>
      <c r="D5" s="92" t="e">
        <f>SUM(D3:D4)/D2</f>
        <v>#DIV/0!</v>
      </c>
      <c r="F5" s="92">
        <f>SUM(F3:F4)/F2</f>
        <v>0</v>
      </c>
      <c r="H5" s="92">
        <f>SUM(H3:H4)/H2</f>
        <v>1</v>
      </c>
      <c r="J5" s="92" t="e">
        <f>SUM(J3:J4)/J2</f>
        <v>#DIV/0!</v>
      </c>
      <c r="L5" s="92" t="e">
        <f>SUM(L3:L4)/L2</f>
        <v>#DIV/0!</v>
      </c>
      <c r="N5" s="92">
        <f>SUM(N3:N4)/N2</f>
        <v>0.5</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214</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2</v>
      </c>
      <c r="E7" s="92">
        <f>D7/Kaikki!C2</f>
        <v>5.5555555555555552E-2</v>
      </c>
      <c r="F7">
        <v>0</v>
      </c>
      <c r="G7" s="92">
        <f>F7/Kaikki!D2</f>
        <v>0</v>
      </c>
      <c r="H7">
        <v>0</v>
      </c>
      <c r="I7" s="92">
        <f>H7/Kaikki!E2</f>
        <v>0</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0.5</v>
      </c>
      <c r="F10" s="92" t="e">
        <f>SUM(F8:F9)/F7</f>
        <v>#DIV/0!</v>
      </c>
      <c r="H10" s="92" t="e">
        <f>SUM(H8:H9)/H7</f>
        <v>#DIV/0!</v>
      </c>
      <c r="J10" s="92" t="e">
        <f>SUM(J8:J9)/J7</f>
        <v>#DIV/0!</v>
      </c>
      <c r="L10" s="92" t="e">
        <f>SUM(L8:L9)/L7</f>
        <v>#DIV/0!</v>
      </c>
      <c r="N10" s="92">
        <f>SUM(N8:N9)/N7</f>
        <v>0.5</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213</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2</v>
      </c>
      <c r="E2" s="92">
        <f>D2/Kaikki!C2</f>
        <v>5.5555555555555552E-2</v>
      </c>
      <c r="F2">
        <v>0</v>
      </c>
      <c r="G2" s="92">
        <f>F2/Kaikki!D2</f>
        <v>0</v>
      </c>
      <c r="H2">
        <v>1</v>
      </c>
      <c r="I2" s="92">
        <f>H2/Kaikki!E2</f>
        <v>9.0909090909090912E-2</v>
      </c>
      <c r="J2">
        <v>0</v>
      </c>
      <c r="K2" s="92">
        <f>J2/Kaikki!F2</f>
        <v>0</v>
      </c>
      <c r="L2">
        <v>0</v>
      </c>
      <c r="M2" s="92">
        <f>L2/Kaikki!G2</f>
        <v>0</v>
      </c>
      <c r="N2">
        <f t="shared" ref="N2:N4" si="0">SUM(B2,D2,F2,H2,J2,L2)</f>
        <v>3</v>
      </c>
      <c r="O2" s="92">
        <f>N2/Kaikki!H2</f>
        <v>4.7619047619047616E-2</v>
      </c>
    </row>
    <row r="3" spans="1:15" x14ac:dyDescent="0.2">
      <c r="A3" t="s">
        <v>190</v>
      </c>
      <c r="B3">
        <v>0</v>
      </c>
      <c r="C3" s="93">
        <f>(B3+B4)/(Kaikki!B3+Kaikki!B4)</f>
        <v>0</v>
      </c>
      <c r="D3">
        <v>2</v>
      </c>
      <c r="E3" s="93">
        <f>(D3+D4)/(Kaikki!C3+Kaikki!C4)</f>
        <v>8.3333333333333329E-2</v>
      </c>
      <c r="F3">
        <v>0</v>
      </c>
      <c r="G3" s="93" t="e">
        <f>(F3+F4)/(Kaikki!D3+Kaikki!D4)</f>
        <v>#DIV/0!</v>
      </c>
      <c r="H3">
        <v>1</v>
      </c>
      <c r="I3" s="93">
        <f>(H3+H4)/(Kaikki!E3+Kaikki!E4)</f>
        <v>0.33333333333333331</v>
      </c>
      <c r="J3">
        <v>0</v>
      </c>
      <c r="K3" s="93" t="e">
        <f>(J3+J4)/(Kaikki!F3+Kaikki!F4)</f>
        <v>#DIV/0!</v>
      </c>
      <c r="L3">
        <v>0</v>
      </c>
      <c r="M3" s="93">
        <f>(L3+L4)/(Kaikki!G3+Kaikki!G4)</f>
        <v>0</v>
      </c>
      <c r="N3">
        <f t="shared" si="0"/>
        <v>3</v>
      </c>
      <c r="O3" s="93">
        <f>(N3+N4)/(Kaikki!H3+Kaikki!H4)</f>
        <v>8.3333333333333329E-2</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1</v>
      </c>
      <c r="F5" s="92" t="e">
        <f>SUM(F3:F4)/F2</f>
        <v>#DIV/0!</v>
      </c>
      <c r="H5" s="92">
        <f>SUM(H3:H4)/H2</f>
        <v>1</v>
      </c>
      <c r="J5" s="92" t="e">
        <f>SUM(J3:J4)/J2</f>
        <v>#DIV/0!</v>
      </c>
      <c r="L5" s="92" t="e">
        <f>SUM(L3:L4)/L2</f>
        <v>#DIV/0!</v>
      </c>
      <c r="N5" s="92">
        <f>SUM(N3:N4)/N2</f>
        <v>1</v>
      </c>
    </row>
    <row r="7" spans="1:15" x14ac:dyDescent="0.2">
      <c r="A7" t="s">
        <v>197</v>
      </c>
      <c r="B7">
        <v>0</v>
      </c>
      <c r="C7" s="92">
        <f>B7/Kaikki!B2</f>
        <v>0</v>
      </c>
      <c r="D7">
        <v>1</v>
      </c>
      <c r="E7" s="92">
        <f>D7/Kaikki!C2</f>
        <v>2.7777777777777776E-2</v>
      </c>
      <c r="F7">
        <v>0</v>
      </c>
      <c r="G7" s="92">
        <f>F7/Kaikki!D2</f>
        <v>0</v>
      </c>
      <c r="H7">
        <v>3</v>
      </c>
      <c r="I7" s="92">
        <f>H7/Kaikki!E2</f>
        <v>0.27272727272727271</v>
      </c>
      <c r="J7">
        <v>0</v>
      </c>
      <c r="K7" s="92">
        <f>J7/Kaikki!F2</f>
        <v>0</v>
      </c>
      <c r="L7">
        <v>0</v>
      </c>
      <c r="M7" s="92">
        <f>L7/Kaikki!G2</f>
        <v>0</v>
      </c>
      <c r="N7">
        <f t="shared" ref="N7:N9" si="1">SUM(B7,D7,F7,H7,J7,L7)</f>
        <v>4</v>
      </c>
      <c r="O7" s="92">
        <f>N7/Kaikki!H2</f>
        <v>6.3492063492063489E-2</v>
      </c>
    </row>
    <row r="8" spans="1:15" x14ac:dyDescent="0.2">
      <c r="A8" t="s">
        <v>198</v>
      </c>
      <c r="B8">
        <v>0</v>
      </c>
      <c r="C8" s="93">
        <f>(B8+B9)/(Kaikki!B3+Kaikki!B4)</f>
        <v>0</v>
      </c>
      <c r="D8">
        <v>0</v>
      </c>
      <c r="E8" s="93">
        <f>(D8+D9)/(Kaikki!C3+Kaikki!C4)</f>
        <v>0</v>
      </c>
      <c r="F8">
        <v>0</v>
      </c>
      <c r="G8" s="93" t="e">
        <f>(F8+F9)/(Kaikki!D3+Kaikki!D4)</f>
        <v>#DIV/0!</v>
      </c>
      <c r="H8">
        <v>2</v>
      </c>
      <c r="I8" s="93">
        <f>(H8+H9)/(Kaikki!E3+Kaikki!E4)</f>
        <v>1</v>
      </c>
      <c r="J8">
        <v>0</v>
      </c>
      <c r="K8" s="93" t="e">
        <f>(J8+J9)/(Kaikki!F3+Kaikki!F4)</f>
        <v>#DIV/0!</v>
      </c>
      <c r="L8">
        <v>0</v>
      </c>
      <c r="M8" s="93">
        <f>(L8+L9)/(Kaikki!G3+Kaikki!G4)</f>
        <v>0</v>
      </c>
      <c r="N8">
        <f t="shared" si="1"/>
        <v>2</v>
      </c>
      <c r="O8" s="93">
        <f>(N8+N9)/(Kaikki!H3+Kaikki!H4)</f>
        <v>8.3333333333333329E-2</v>
      </c>
    </row>
    <row r="9" spans="1:15" x14ac:dyDescent="0.2">
      <c r="A9" t="s">
        <v>199</v>
      </c>
      <c r="B9">
        <v>0</v>
      </c>
      <c r="C9" s="93"/>
      <c r="D9">
        <v>0</v>
      </c>
      <c r="E9" s="93"/>
      <c r="F9">
        <v>0</v>
      </c>
      <c r="G9" s="93"/>
      <c r="H9">
        <v>1</v>
      </c>
      <c r="I9" s="93"/>
      <c r="J9">
        <v>0</v>
      </c>
      <c r="K9" s="93"/>
      <c r="L9">
        <v>0</v>
      </c>
      <c r="M9" s="93"/>
      <c r="N9">
        <f t="shared" si="1"/>
        <v>1</v>
      </c>
      <c r="O9" s="93"/>
    </row>
    <row r="10" spans="1:15" x14ac:dyDescent="0.2">
      <c r="A10" t="s">
        <v>196</v>
      </c>
      <c r="B10" s="92" t="e">
        <f>SUM(B8:B9)/B7</f>
        <v>#DIV/0!</v>
      </c>
      <c r="D10" s="92">
        <f>SUM(D8:D9)/D7</f>
        <v>0</v>
      </c>
      <c r="F10" s="92" t="e">
        <f>SUM(F8:F9)/F7</f>
        <v>#DIV/0!</v>
      </c>
      <c r="H10" s="92">
        <f>SUM(H8:H9)/H7</f>
        <v>1</v>
      </c>
      <c r="J10" s="92" t="e">
        <f>SUM(J8:J9)/J7</f>
        <v>#DIV/0!</v>
      </c>
      <c r="L10" s="92" t="e">
        <f>SUM(L8:L9)/L7</f>
        <v>#DIV/0!</v>
      </c>
      <c r="N10" s="92">
        <f>SUM(N8:N9)/N7</f>
        <v>0.75</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212</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211</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7</v>
      </c>
      <c r="E2" s="92">
        <f>D2/Kaikki!C2</f>
        <v>0.19444444444444445</v>
      </c>
      <c r="F2">
        <v>0</v>
      </c>
      <c r="G2" s="92">
        <f>F2/Kaikki!D2</f>
        <v>0</v>
      </c>
      <c r="H2">
        <v>4</v>
      </c>
      <c r="I2" s="92">
        <f>H2/Kaikki!E2</f>
        <v>0.36363636363636365</v>
      </c>
      <c r="J2">
        <v>0</v>
      </c>
      <c r="K2" s="92">
        <f>J2/Kaikki!F2</f>
        <v>0</v>
      </c>
      <c r="L2">
        <v>1</v>
      </c>
      <c r="M2" s="92">
        <f>L2/Kaikki!G2</f>
        <v>0.14285714285714285</v>
      </c>
      <c r="N2">
        <f t="shared" ref="N2:N4" si="0">SUM(B2,D2,F2,H2,J2,L2)</f>
        <v>12</v>
      </c>
      <c r="O2" s="92">
        <f>N2/Kaikki!H2</f>
        <v>0.19047619047619047</v>
      </c>
    </row>
    <row r="3" spans="1:15" x14ac:dyDescent="0.2">
      <c r="A3" t="s">
        <v>190</v>
      </c>
      <c r="B3">
        <v>0</v>
      </c>
      <c r="C3" s="93">
        <f>(B3+B4)/(Kaikki!B3+Kaikki!B4)</f>
        <v>0</v>
      </c>
      <c r="D3">
        <v>4</v>
      </c>
      <c r="E3" s="93">
        <f>(D3+D4)/(Kaikki!C3+Kaikki!C4)</f>
        <v>0.16666666666666666</v>
      </c>
      <c r="F3">
        <v>0</v>
      </c>
      <c r="G3" s="93" t="e">
        <f>(F3+F4)/(Kaikki!D3+Kaikki!D4)</f>
        <v>#DIV/0!</v>
      </c>
      <c r="H3">
        <v>0</v>
      </c>
      <c r="I3" s="93">
        <f>(H3+H4)/(Kaikki!E3+Kaikki!E4)</f>
        <v>0</v>
      </c>
      <c r="J3">
        <v>0</v>
      </c>
      <c r="K3" s="93" t="e">
        <f>(J3+J4)/(Kaikki!F3+Kaikki!F4)</f>
        <v>#DIV/0!</v>
      </c>
      <c r="L3">
        <v>1</v>
      </c>
      <c r="M3" s="93">
        <f>(L3+L4)/(Kaikki!G3+Kaikki!G4)</f>
        <v>0.2</v>
      </c>
      <c r="N3">
        <f t="shared" si="0"/>
        <v>5</v>
      </c>
      <c r="O3" s="93">
        <f>(N3+N4)/(Kaikki!H3+Kaikki!H4)</f>
        <v>0.1388888888888889</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0.5714285714285714</v>
      </c>
      <c r="F5" s="92" t="e">
        <f>SUM(F3:F4)/F2</f>
        <v>#DIV/0!</v>
      </c>
      <c r="H5" s="92">
        <f>SUM(H3:H4)/H2</f>
        <v>0</v>
      </c>
      <c r="J5" s="92" t="e">
        <f>SUM(J3:J4)/J2</f>
        <v>#DIV/0!</v>
      </c>
      <c r="L5" s="92">
        <f>SUM(L3:L4)/L2</f>
        <v>1</v>
      </c>
      <c r="N5" s="92">
        <f>SUM(N3:N4)/N2</f>
        <v>0.41666666666666669</v>
      </c>
    </row>
    <row r="7" spans="1:15" x14ac:dyDescent="0.2">
      <c r="A7" t="s">
        <v>197</v>
      </c>
      <c r="B7">
        <v>0</v>
      </c>
      <c r="C7" s="92">
        <f>B7/Kaikki!B2</f>
        <v>0</v>
      </c>
      <c r="D7">
        <v>5</v>
      </c>
      <c r="E7" s="92">
        <f>D7/Kaikki!C2</f>
        <v>0.1388888888888889</v>
      </c>
      <c r="F7">
        <v>0</v>
      </c>
      <c r="G7" s="92">
        <f>F7/Kaikki!D2</f>
        <v>0</v>
      </c>
      <c r="H7">
        <v>4</v>
      </c>
      <c r="I7" s="92">
        <f>H7/Kaikki!E2</f>
        <v>0.36363636363636365</v>
      </c>
      <c r="J7">
        <v>0</v>
      </c>
      <c r="K7" s="92">
        <f>J7/Kaikki!F2</f>
        <v>0</v>
      </c>
      <c r="L7">
        <v>1</v>
      </c>
      <c r="M7" s="92">
        <f>L7/Kaikki!G2</f>
        <v>0.14285714285714285</v>
      </c>
      <c r="N7">
        <f t="shared" ref="N7:N9" si="1">SUM(B7,D7,F7,H7,J7,L7)</f>
        <v>10</v>
      </c>
      <c r="O7" s="92">
        <f>N7/Kaikki!H2</f>
        <v>0.15873015873015872</v>
      </c>
    </row>
    <row r="8" spans="1:15" x14ac:dyDescent="0.2">
      <c r="A8" t="s">
        <v>198</v>
      </c>
      <c r="B8">
        <v>0</v>
      </c>
      <c r="C8" s="93">
        <f>(B8+B9)/(Kaikki!B3+Kaikki!B4)</f>
        <v>0</v>
      </c>
      <c r="D8">
        <v>5</v>
      </c>
      <c r="E8" s="93">
        <f>(D8+D9)/(Kaikki!C3+Kaikki!C4)</f>
        <v>0.20833333333333334</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t="e">
        <f>SUM(F8:F9)/F7</f>
        <v>#DIV/0!</v>
      </c>
      <c r="H10" s="92">
        <f>SUM(H8:H9)/H7</f>
        <v>0</v>
      </c>
      <c r="J10" s="92" t="e">
        <f>SUM(J8:J9)/J7</f>
        <v>#DIV/0!</v>
      </c>
      <c r="L10" s="92">
        <f>SUM(L8:L9)/L7</f>
        <v>1</v>
      </c>
      <c r="N10" s="92">
        <f>SUM(N8:N9)/N7</f>
        <v>0.6</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210</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4</v>
      </c>
      <c r="E2" s="92">
        <f>D2/Kaikki!C2</f>
        <v>0.1111111111111111</v>
      </c>
      <c r="F2">
        <v>0</v>
      </c>
      <c r="G2" s="92">
        <f>F2/Kaikki!D2</f>
        <v>0</v>
      </c>
      <c r="H2">
        <v>0</v>
      </c>
      <c r="I2" s="92">
        <f>H2/Kaikki!E2</f>
        <v>0</v>
      </c>
      <c r="J2">
        <v>0</v>
      </c>
      <c r="K2" s="92">
        <f>J2/Kaikki!F2</f>
        <v>0</v>
      </c>
      <c r="L2">
        <v>2</v>
      </c>
      <c r="M2" s="92">
        <f>L2/Kaikki!G2</f>
        <v>0.2857142857142857</v>
      </c>
      <c r="N2">
        <f t="shared" ref="N2:N4" si="0">SUM(B2,D2,F2,H2,J2,L2)</f>
        <v>7</v>
      </c>
      <c r="O2" s="92">
        <f>N2/Kaikki!H2</f>
        <v>0.1111111111111111</v>
      </c>
    </row>
    <row r="3" spans="1:15" x14ac:dyDescent="0.2">
      <c r="A3" t="s">
        <v>190</v>
      </c>
      <c r="B3">
        <v>0</v>
      </c>
      <c r="C3" s="93">
        <f>(B3+B4)/(Kaikki!B3+Kaikki!B4)</f>
        <v>0</v>
      </c>
      <c r="D3">
        <v>4</v>
      </c>
      <c r="E3" s="93">
        <f>(D3+D4)/(Kaikki!C3+Kaikki!C4)</f>
        <v>0.16666666666666666</v>
      </c>
      <c r="F3">
        <v>0</v>
      </c>
      <c r="G3" s="93" t="e">
        <f>(F3+F4)/(Kaikki!D3+Kaikki!D4)</f>
        <v>#DIV/0!</v>
      </c>
      <c r="H3">
        <v>0</v>
      </c>
      <c r="I3" s="93">
        <f>(H3+H4)/(Kaikki!E3+Kaikki!E4)</f>
        <v>0</v>
      </c>
      <c r="J3">
        <v>0</v>
      </c>
      <c r="K3" s="93" t="e">
        <f>(J3+J4)/(Kaikki!F3+Kaikki!F4)</f>
        <v>#DIV/0!</v>
      </c>
      <c r="L3">
        <v>1</v>
      </c>
      <c r="M3" s="93">
        <f>(L3+L4)/(Kaikki!G3+Kaikki!G4)</f>
        <v>0.2</v>
      </c>
      <c r="N3">
        <f t="shared" si="0"/>
        <v>5</v>
      </c>
      <c r="O3" s="93">
        <f>(N3+N4)/(Kaikki!H3+Kaikki!H4)</f>
        <v>0.1388888888888889</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0</v>
      </c>
      <c r="D5" s="92">
        <f>SUM(D3:D4)/D2</f>
        <v>1</v>
      </c>
      <c r="F5" s="92" t="e">
        <f>SUM(F3:F4)/F2</f>
        <v>#DIV/0!</v>
      </c>
      <c r="H5" s="92" t="e">
        <f>SUM(H3:H4)/H2</f>
        <v>#DIV/0!</v>
      </c>
      <c r="J5" s="92" t="e">
        <f>SUM(J3:J4)/J2</f>
        <v>#DIV/0!</v>
      </c>
      <c r="L5" s="92">
        <f>SUM(L3:L4)/L2</f>
        <v>0.5</v>
      </c>
      <c r="N5" s="92">
        <f>SUM(N3:N4)/N2</f>
        <v>0.7142857142857143</v>
      </c>
    </row>
    <row r="7" spans="1:15" x14ac:dyDescent="0.2">
      <c r="A7" t="s">
        <v>197</v>
      </c>
      <c r="B7">
        <v>1</v>
      </c>
      <c r="C7" s="92">
        <f>B7/Kaikki!B2</f>
        <v>0.16666666666666666</v>
      </c>
      <c r="D7">
        <v>5</v>
      </c>
      <c r="E7" s="92">
        <f>D7/Kaikki!C2</f>
        <v>0.1388888888888889</v>
      </c>
      <c r="F7">
        <v>0</v>
      </c>
      <c r="G7" s="92">
        <f>F7/Kaikki!D2</f>
        <v>0</v>
      </c>
      <c r="H7">
        <v>0</v>
      </c>
      <c r="I7" s="92">
        <f>H7/Kaikki!E2</f>
        <v>0</v>
      </c>
      <c r="J7">
        <v>0</v>
      </c>
      <c r="K7" s="92">
        <f>J7/Kaikki!F2</f>
        <v>0</v>
      </c>
      <c r="L7">
        <v>2</v>
      </c>
      <c r="M7" s="92">
        <f>L7/Kaikki!G2</f>
        <v>0.2857142857142857</v>
      </c>
      <c r="N7">
        <f t="shared" ref="N7:N9" si="1">SUM(B7,D7,F7,H7,J7,L7)</f>
        <v>8</v>
      </c>
      <c r="O7" s="92">
        <f>N7/Kaikki!H2</f>
        <v>0.12698412698412698</v>
      </c>
    </row>
    <row r="8" spans="1:15" x14ac:dyDescent="0.2">
      <c r="A8" t="s">
        <v>198</v>
      </c>
      <c r="B8">
        <v>1</v>
      </c>
      <c r="C8" s="93">
        <f>(B8+B9)/(Kaikki!B3+Kaikki!B4)</f>
        <v>0.25</v>
      </c>
      <c r="D8">
        <v>4</v>
      </c>
      <c r="E8" s="93">
        <f>(D8+D9)/(Kaikki!C3+Kaikki!C4)</f>
        <v>0.16666666666666666</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1</v>
      </c>
      <c r="D10" s="92">
        <f>SUM(D8:D9)/D7</f>
        <v>0.8</v>
      </c>
      <c r="F10" s="92" t="e">
        <f>SUM(F8:F9)/F7</f>
        <v>#DIV/0!</v>
      </c>
      <c r="H10" s="92" t="e">
        <f>SUM(H8:H9)/H7</f>
        <v>#DIV/0!</v>
      </c>
      <c r="J10" s="92" t="e">
        <f>SUM(J8:J9)/J7</f>
        <v>#DIV/0!</v>
      </c>
      <c r="L10" s="92">
        <f>SUM(L8:L9)/L7</f>
        <v>0.5</v>
      </c>
      <c r="N10" s="92">
        <f>SUM(N8:N9)/N7</f>
        <v>0.75</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209</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1</v>
      </c>
      <c r="E2" s="92">
        <f>D2/Kaikki!C2</f>
        <v>2.7777777777777776E-2</v>
      </c>
      <c r="F2">
        <v>0</v>
      </c>
      <c r="G2" s="92">
        <f>F2/Kaikki!D2</f>
        <v>0</v>
      </c>
      <c r="H2">
        <v>0</v>
      </c>
      <c r="I2" s="92">
        <f>H2/Kaikki!E2</f>
        <v>0</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v>
      </c>
      <c r="F5" s="92" t="e">
        <f>SUM(F3:F4)/F2</f>
        <v>#DIV/0!</v>
      </c>
      <c r="H5" s="92" t="e">
        <f>SUM(H3:H4)/H2</f>
        <v>#DIV/0!</v>
      </c>
      <c r="J5" s="92" t="e">
        <f>SUM(J3:J4)/J2</f>
        <v>#DIV/0!</v>
      </c>
      <c r="L5" s="92" t="e">
        <f>SUM(L3:L4)/L2</f>
        <v>#DIV/0!</v>
      </c>
      <c r="N5" s="92">
        <f>SUM(N3:N4)/N2</f>
        <v>0</v>
      </c>
    </row>
    <row r="7" spans="1:15" x14ac:dyDescent="0.2">
      <c r="A7" t="s">
        <v>197</v>
      </c>
      <c r="B7">
        <v>0</v>
      </c>
      <c r="C7" s="92">
        <f>B7/Kaikki!B2</f>
        <v>0</v>
      </c>
      <c r="D7">
        <v>1</v>
      </c>
      <c r="E7" s="92">
        <f>D7/Kaikki!C2</f>
        <v>2.7777777777777776E-2</v>
      </c>
      <c r="F7">
        <v>0</v>
      </c>
      <c r="G7" s="92">
        <f>F7/Kaikki!D2</f>
        <v>0</v>
      </c>
      <c r="H7">
        <v>0</v>
      </c>
      <c r="I7" s="92">
        <f>H7/Kaikki!E2</f>
        <v>0</v>
      </c>
      <c r="J7">
        <v>0</v>
      </c>
      <c r="K7" s="92">
        <f>J7/Kaikki!F2</f>
        <v>0</v>
      </c>
      <c r="L7">
        <v>0</v>
      </c>
      <c r="M7" s="92">
        <f>L7/Kaikki!G2</f>
        <v>0</v>
      </c>
      <c r="N7">
        <f t="shared" ref="N7:N9" si="1">SUM(B7,D7,F7,H7,J7,L7)</f>
        <v>1</v>
      </c>
      <c r="O7" s="92">
        <f>N7/Kaikki!H2</f>
        <v>1.5873015873015872E-2</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0</v>
      </c>
      <c r="F10" s="92" t="e">
        <f>SUM(F8:F9)/F7</f>
        <v>#DIV/0!</v>
      </c>
      <c r="H10" s="92" t="e">
        <f>SUM(H8:H9)/H7</f>
        <v>#DIV/0!</v>
      </c>
      <c r="J10" s="92" t="e">
        <f>SUM(J8:J9)/J7</f>
        <v>#DIV/0!</v>
      </c>
      <c r="L10" s="92" t="e">
        <f>SUM(L8:L9)/L7</f>
        <v>#DIV/0!</v>
      </c>
      <c r="N10" s="92">
        <f>SUM(N8:N9)/N7</f>
        <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208</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207</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3</v>
      </c>
      <c r="C2" s="92">
        <f>B2/Kaikki!B2</f>
        <v>0.5</v>
      </c>
      <c r="D2">
        <v>3</v>
      </c>
      <c r="E2" s="92">
        <f>D2/Kaikki!C2</f>
        <v>8.3333333333333329E-2</v>
      </c>
      <c r="F2">
        <v>0</v>
      </c>
      <c r="G2" s="92">
        <f>F2/Kaikki!D2</f>
        <v>0</v>
      </c>
      <c r="H2">
        <v>4</v>
      </c>
      <c r="I2" s="92">
        <f>H2/Kaikki!E2</f>
        <v>0.36363636363636365</v>
      </c>
      <c r="J2">
        <v>0</v>
      </c>
      <c r="K2" s="92">
        <f>J2/Kaikki!F2</f>
        <v>0</v>
      </c>
      <c r="L2">
        <v>0</v>
      </c>
      <c r="M2" s="92">
        <f>L2/Kaikki!G2</f>
        <v>0</v>
      </c>
      <c r="N2">
        <f t="shared" ref="N2:N4" si="0">SUM(B2,D2,F2,H2,J2,L2)</f>
        <v>10</v>
      </c>
      <c r="O2" s="92">
        <f>N2/Kaikki!H2</f>
        <v>0.15873015873015872</v>
      </c>
    </row>
    <row r="3" spans="1:15" x14ac:dyDescent="0.2">
      <c r="A3" t="s">
        <v>190</v>
      </c>
      <c r="B3">
        <v>0</v>
      </c>
      <c r="C3" s="93">
        <f>(B3+B4)/(Kaikki!B3+Kaikki!B4)</f>
        <v>0.5</v>
      </c>
      <c r="D3">
        <v>2</v>
      </c>
      <c r="E3" s="93">
        <f>(D3+D4)/(Kaikki!C3+Kaikki!C4)</f>
        <v>8.3333333333333329E-2</v>
      </c>
      <c r="F3">
        <v>0</v>
      </c>
      <c r="G3" s="93" t="e">
        <f>(F3+F4)/(Kaikki!D3+Kaikki!D4)</f>
        <v>#DIV/0!</v>
      </c>
      <c r="H3">
        <v>1</v>
      </c>
      <c r="I3" s="93">
        <f>(H3+H4)/(Kaikki!E3+Kaikki!E4)</f>
        <v>0.33333333333333331</v>
      </c>
      <c r="J3">
        <v>0</v>
      </c>
      <c r="K3" s="93" t="e">
        <f>(J3+J4)/(Kaikki!F3+Kaikki!F4)</f>
        <v>#DIV/0!</v>
      </c>
      <c r="L3">
        <v>0</v>
      </c>
      <c r="M3" s="93">
        <f>(L3+L4)/(Kaikki!G3+Kaikki!G4)</f>
        <v>0</v>
      </c>
      <c r="N3">
        <f t="shared" si="0"/>
        <v>3</v>
      </c>
      <c r="O3" s="93">
        <f>(N3+N4)/(Kaikki!H3+Kaikki!H4)</f>
        <v>0.1388888888888889</v>
      </c>
    </row>
    <row r="4" spans="1:15" x14ac:dyDescent="0.2">
      <c r="A4" t="s">
        <v>191</v>
      </c>
      <c r="B4">
        <v>2</v>
      </c>
      <c r="C4" s="93"/>
      <c r="D4">
        <v>0</v>
      </c>
      <c r="E4" s="93"/>
      <c r="F4">
        <v>0</v>
      </c>
      <c r="G4" s="93"/>
      <c r="H4">
        <v>0</v>
      </c>
      <c r="I4" s="93"/>
      <c r="J4">
        <v>0</v>
      </c>
      <c r="K4" s="93"/>
      <c r="L4">
        <v>0</v>
      </c>
      <c r="M4" s="93"/>
      <c r="N4">
        <f t="shared" si="0"/>
        <v>2</v>
      </c>
      <c r="O4" s="93"/>
    </row>
    <row r="5" spans="1:15" x14ac:dyDescent="0.2">
      <c r="A5" t="s">
        <v>196</v>
      </c>
      <c r="B5" s="92">
        <f>SUM(B3:B4)/B2</f>
        <v>0.66666666666666663</v>
      </c>
      <c r="D5" s="92">
        <f>SUM(D3:D4)/D2</f>
        <v>0.66666666666666663</v>
      </c>
      <c r="F5" s="92" t="e">
        <f>SUM(F3:F4)/F2</f>
        <v>#DIV/0!</v>
      </c>
      <c r="H5" s="92">
        <f>SUM(H3:H4)/H2</f>
        <v>0.25</v>
      </c>
      <c r="J5" s="92" t="e">
        <f>SUM(J3:J4)/J2</f>
        <v>#DIV/0!</v>
      </c>
      <c r="L5" s="92" t="e">
        <f>SUM(L3:L4)/L2</f>
        <v>#DIV/0!</v>
      </c>
      <c r="N5" s="92">
        <f>SUM(N3:N4)/N2</f>
        <v>0.5</v>
      </c>
    </row>
    <row r="7" spans="1:15" x14ac:dyDescent="0.2">
      <c r="A7" t="s">
        <v>197</v>
      </c>
      <c r="B7">
        <v>1</v>
      </c>
      <c r="C7" s="92">
        <f>B7/Kaikki!B2</f>
        <v>0.16666666666666666</v>
      </c>
      <c r="D7">
        <v>6</v>
      </c>
      <c r="E7" s="92">
        <f>D7/Kaikki!C2</f>
        <v>0.16666666666666666</v>
      </c>
      <c r="F7">
        <v>1</v>
      </c>
      <c r="G7" s="92">
        <f>F7/Kaikki!D2</f>
        <v>0.5</v>
      </c>
      <c r="H7">
        <v>2</v>
      </c>
      <c r="I7" s="92">
        <f>H7/Kaikki!E2</f>
        <v>0.18181818181818182</v>
      </c>
      <c r="J7">
        <v>0</v>
      </c>
      <c r="K7" s="92">
        <f>J7/Kaikki!F2</f>
        <v>0</v>
      </c>
      <c r="L7">
        <v>0</v>
      </c>
      <c r="M7" s="92">
        <f>L7/Kaikki!G2</f>
        <v>0</v>
      </c>
      <c r="N7">
        <f t="shared" ref="N7:N9" si="1">SUM(B7,D7,F7,H7,J7,L7)</f>
        <v>10</v>
      </c>
      <c r="O7" s="92">
        <f>N7/Kaikki!H2</f>
        <v>0.15873015873015872</v>
      </c>
    </row>
    <row r="8" spans="1:15" x14ac:dyDescent="0.2">
      <c r="A8" t="s">
        <v>198</v>
      </c>
      <c r="B8">
        <v>0</v>
      </c>
      <c r="C8" s="93">
        <f>(B8+B9)/(Kaikki!B3+Kaikki!B4)</f>
        <v>0.25</v>
      </c>
      <c r="D8">
        <v>5</v>
      </c>
      <c r="E8" s="93">
        <f>(D8+D9)/(Kaikki!C3+Kaikki!C4)</f>
        <v>0.20833333333333334</v>
      </c>
      <c r="F8">
        <v>0</v>
      </c>
      <c r="G8" s="93" t="e">
        <f>(F8+F9)/(Kaikki!D3+Kaikki!D4)</f>
        <v>#DIV/0!</v>
      </c>
      <c r="H8">
        <v>0</v>
      </c>
      <c r="I8" s="93">
        <f>(H8+H9)/(Kaikki!E3+Kaikki!E4)</f>
        <v>0</v>
      </c>
      <c r="J8">
        <v>0</v>
      </c>
      <c r="K8" s="93" t="e">
        <f>(J8+J9)/(Kaikki!F3+Kaikki!F4)</f>
        <v>#DIV/0!</v>
      </c>
      <c r="L8">
        <v>0</v>
      </c>
      <c r="M8" s="93">
        <f>(L8+L9)/(Kaikki!G3+Kaikki!G4)</f>
        <v>0</v>
      </c>
      <c r="N8">
        <f t="shared" si="1"/>
        <v>5</v>
      </c>
      <c r="O8" s="93">
        <f>(N8+N9)/(Kaikki!H3+Kaikki!H4)</f>
        <v>0.16666666666666666</v>
      </c>
    </row>
    <row r="9" spans="1:15" x14ac:dyDescent="0.2">
      <c r="A9" t="s">
        <v>199</v>
      </c>
      <c r="B9">
        <v>1</v>
      </c>
      <c r="C9" s="93"/>
      <c r="D9">
        <v>0</v>
      </c>
      <c r="E9" s="93"/>
      <c r="F9">
        <v>0</v>
      </c>
      <c r="G9" s="93"/>
      <c r="H9">
        <v>0</v>
      </c>
      <c r="I9" s="93"/>
      <c r="J9">
        <v>0</v>
      </c>
      <c r="K9" s="93"/>
      <c r="L9">
        <v>0</v>
      </c>
      <c r="M9" s="93"/>
      <c r="N9">
        <f t="shared" si="1"/>
        <v>1</v>
      </c>
      <c r="O9" s="93"/>
    </row>
    <row r="10" spans="1:15" x14ac:dyDescent="0.2">
      <c r="A10" t="s">
        <v>196</v>
      </c>
      <c r="B10" s="92">
        <f>SUM(B8:B9)/B7</f>
        <v>1</v>
      </c>
      <c r="D10" s="92">
        <f>SUM(D8:D9)/D7</f>
        <v>0.83333333333333337</v>
      </c>
      <c r="F10" s="92">
        <f>SUM(F8:F9)/F7</f>
        <v>0</v>
      </c>
      <c r="H10" s="92">
        <f>SUM(H8:H9)/H7</f>
        <v>0</v>
      </c>
      <c r="J10" s="92" t="e">
        <f>SUM(J8:J9)/J7</f>
        <v>#DIV/0!</v>
      </c>
      <c r="L10" s="92" t="e">
        <f>SUM(L8:L9)/L7</f>
        <v>#DIV/0!</v>
      </c>
      <c r="N10" s="92">
        <f>SUM(N8:N9)/N7</f>
        <v>0.6</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206</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5</v>
      </c>
      <c r="E2" s="92">
        <f>D2/Kaikki!C2</f>
        <v>0.1388888888888889</v>
      </c>
      <c r="F2">
        <v>0</v>
      </c>
      <c r="G2" s="92">
        <f>F2/Kaikki!D2</f>
        <v>0</v>
      </c>
      <c r="H2">
        <v>0</v>
      </c>
      <c r="I2" s="92">
        <f>H2/Kaikki!E2</f>
        <v>0</v>
      </c>
      <c r="J2">
        <v>0</v>
      </c>
      <c r="K2" s="92">
        <f>J2/Kaikki!F2</f>
        <v>0</v>
      </c>
      <c r="L2">
        <v>0</v>
      </c>
      <c r="M2" s="92">
        <f>L2/Kaikki!G2</f>
        <v>0</v>
      </c>
      <c r="N2">
        <f t="shared" ref="N2:N4" si="0">SUM(B2,D2,F2,H2,J2,L2)</f>
        <v>5</v>
      </c>
      <c r="O2" s="92">
        <f>N2/Kaikki!H2</f>
        <v>7.9365079365079361E-2</v>
      </c>
    </row>
    <row r="3" spans="1:15" x14ac:dyDescent="0.2">
      <c r="A3" t="s">
        <v>190</v>
      </c>
      <c r="B3">
        <v>0</v>
      </c>
      <c r="C3" s="93">
        <f>(B3+B4)/(Kaikki!B3+Kaikki!B4)</f>
        <v>0</v>
      </c>
      <c r="D3">
        <v>2</v>
      </c>
      <c r="E3" s="93">
        <f>(D3+D4)/(Kaikki!C3+Kaikki!C4)</f>
        <v>8.3333333333333329E-2</v>
      </c>
      <c r="F3">
        <v>0</v>
      </c>
      <c r="G3" s="93" t="e">
        <f>(F3+F4)/(Kaikki!D3+Kaikki!D4)</f>
        <v>#DIV/0!</v>
      </c>
      <c r="H3">
        <v>0</v>
      </c>
      <c r="I3" s="93">
        <f>(H3+H4)/(Kaikki!E3+Kaikki!E4)</f>
        <v>0</v>
      </c>
      <c r="J3">
        <v>0</v>
      </c>
      <c r="K3" s="93" t="e">
        <f>(J3+J4)/(Kaikki!F3+Kaikki!F4)</f>
        <v>#DIV/0!</v>
      </c>
      <c r="L3">
        <v>0</v>
      </c>
      <c r="M3" s="93">
        <f>(L3+L4)/(Kaikki!G3+Kaikki!G4)</f>
        <v>0</v>
      </c>
      <c r="N3">
        <f t="shared" si="0"/>
        <v>2</v>
      </c>
      <c r="O3" s="93">
        <f>(N3+N4)/(Kaikki!H3+Kaikki!H4)</f>
        <v>5.5555555555555552E-2</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0.4</v>
      </c>
      <c r="F5" s="92" t="e">
        <f>SUM(F3:F4)/F2</f>
        <v>#DIV/0!</v>
      </c>
      <c r="H5" s="92" t="e">
        <f>SUM(H3:H4)/H2</f>
        <v>#DIV/0!</v>
      </c>
      <c r="J5" s="92" t="e">
        <f>SUM(J3:J4)/J2</f>
        <v>#DIV/0!</v>
      </c>
      <c r="L5" s="92" t="e">
        <f>SUM(L3:L4)/L2</f>
        <v>#DIV/0!</v>
      </c>
      <c r="N5" s="92">
        <f>SUM(N3:N4)/N2</f>
        <v>0.4</v>
      </c>
    </row>
    <row r="7" spans="1:15" x14ac:dyDescent="0.2">
      <c r="A7" t="s">
        <v>197</v>
      </c>
      <c r="B7">
        <v>0</v>
      </c>
      <c r="C7" s="92">
        <f>B7/Kaikki!B2</f>
        <v>0</v>
      </c>
      <c r="D7">
        <v>1</v>
      </c>
      <c r="E7" s="92">
        <f>D7/Kaikki!C2</f>
        <v>2.7777777777777776E-2</v>
      </c>
      <c r="F7">
        <v>1</v>
      </c>
      <c r="G7" s="92">
        <f>F7/Kaikki!D2</f>
        <v>0.5</v>
      </c>
      <c r="H7">
        <v>0</v>
      </c>
      <c r="I7" s="92">
        <f>H7/Kaikki!E2</f>
        <v>0</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f>SUM(F8:F9)/F7</f>
        <v>0</v>
      </c>
      <c r="H10" s="92" t="e">
        <f>SUM(H8:H9)/H7</f>
        <v>#DIV/0!</v>
      </c>
      <c r="J10" s="92" t="e">
        <f>SUM(J8:J9)/J7</f>
        <v>#DIV/0!</v>
      </c>
      <c r="L10" s="92" t="e">
        <f>SUM(L8:L9)/L7</f>
        <v>#DIV/0!</v>
      </c>
      <c r="N10" s="92">
        <f>SUM(N8:N9)/N7</f>
        <v>0.5</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205</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1</v>
      </c>
      <c r="G2" s="92">
        <f>F2/Kaikki!D2</f>
        <v>0.5</v>
      </c>
      <c r="H2">
        <v>0</v>
      </c>
      <c r="I2" s="92">
        <f>H2/Kaikki!E2</f>
        <v>0</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f>SUM(F3:F4)/F2</f>
        <v>0</v>
      </c>
      <c r="H5" s="92" t="e">
        <f>SUM(H3:H4)/H2</f>
        <v>#DIV/0!</v>
      </c>
      <c r="J5" s="92" t="e">
        <f>SUM(J3:J4)/J2</f>
        <v>#DIV/0!</v>
      </c>
      <c r="L5" s="92" t="e">
        <f>SUM(L3:L4)/L2</f>
        <v>#DIV/0!</v>
      </c>
      <c r="N5" s="92">
        <f>SUM(N3:N4)/N2</f>
        <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204</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203</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1</v>
      </c>
      <c r="I2" s="92">
        <f>H2/Kaikki!E2</f>
        <v>9.0909090909090912E-2</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f>SUM(H3:H4)/H2</f>
        <v>0</v>
      </c>
      <c r="J5" s="92" t="e">
        <f>SUM(J3:J4)/J2</f>
        <v>#DIV/0!</v>
      </c>
      <c r="L5" s="92" t="e">
        <f>SUM(L3:L4)/L2</f>
        <v>#DIV/0!</v>
      </c>
      <c r="N5" s="92">
        <f>SUM(N3:N4)/N2</f>
        <v>0</v>
      </c>
    </row>
    <row r="7" spans="1:15" x14ac:dyDescent="0.2">
      <c r="A7" t="s">
        <v>197</v>
      </c>
      <c r="B7">
        <v>0</v>
      </c>
      <c r="C7" s="92">
        <f>B7/Kaikki!B2</f>
        <v>0</v>
      </c>
      <c r="D7">
        <v>1</v>
      </c>
      <c r="E7" s="92">
        <f>D7/Kaikki!C2</f>
        <v>2.7777777777777776E-2</v>
      </c>
      <c r="F7">
        <v>0</v>
      </c>
      <c r="G7" s="92">
        <f>F7/Kaikki!D2</f>
        <v>0</v>
      </c>
      <c r="H7">
        <v>1</v>
      </c>
      <c r="I7" s="92">
        <f>H7/Kaikki!E2</f>
        <v>9.0909090909090912E-2</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t="e">
        <f>SUM(F8:F9)/F7</f>
        <v>#DIV/0!</v>
      </c>
      <c r="H10" s="92">
        <f>SUM(H8:H9)/H7</f>
        <v>0</v>
      </c>
      <c r="J10" s="92" t="e">
        <f>SUM(J8:J9)/J7</f>
        <v>#DIV/0!</v>
      </c>
      <c r="L10" s="92" t="e">
        <f>SUM(L8:L9)/L7</f>
        <v>#DIV/0!</v>
      </c>
      <c r="N10" s="92">
        <f>SUM(N8:N9)/N7</f>
        <v>0.5</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202</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1</v>
      </c>
      <c r="C7" s="92">
        <f>B7/Kaikki!B2</f>
        <v>0.16666666666666666</v>
      </c>
      <c r="D7">
        <v>1</v>
      </c>
      <c r="E7" s="92">
        <f>D7/Kaikki!C2</f>
        <v>2.7777777777777776E-2</v>
      </c>
      <c r="F7">
        <v>0</v>
      </c>
      <c r="G7" s="92">
        <f>F7/Kaikki!D2</f>
        <v>0</v>
      </c>
      <c r="H7">
        <v>0</v>
      </c>
      <c r="I7" s="92">
        <f>H7/Kaikki!E2</f>
        <v>0</v>
      </c>
      <c r="J7">
        <v>0</v>
      </c>
      <c r="K7" s="92">
        <f>J7/Kaikki!F2</f>
        <v>0</v>
      </c>
      <c r="L7">
        <v>1</v>
      </c>
      <c r="M7" s="92">
        <f>L7/Kaikki!G2</f>
        <v>0.14285714285714285</v>
      </c>
      <c r="N7">
        <f t="shared" ref="N7:N9" si="1">SUM(B7,D7,F7,H7,J7,L7)</f>
        <v>3</v>
      </c>
      <c r="O7" s="92">
        <f>N7/Kaikki!H2</f>
        <v>4.7619047619047616E-2</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1</v>
      </c>
      <c r="M8" s="93">
        <f>(L8+L9)/(Kaikki!G3+Kaikki!G4)</f>
        <v>0.2</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0</v>
      </c>
      <c r="D10" s="92">
        <f>SUM(D8:D9)/D7</f>
        <v>0</v>
      </c>
      <c r="F10" s="92" t="e">
        <f>SUM(F8:F9)/F7</f>
        <v>#DIV/0!</v>
      </c>
      <c r="H10" s="92" t="e">
        <f>SUM(H8:H9)/H7</f>
        <v>#DIV/0!</v>
      </c>
      <c r="J10" s="92" t="e">
        <f>SUM(J8:J9)/J7</f>
        <v>#DIV/0!</v>
      </c>
      <c r="L10" s="92">
        <f>SUM(L8:L9)/L7</f>
        <v>1</v>
      </c>
      <c r="N10" s="92">
        <f>SUM(N8:N9)/N7</f>
        <v>0.33333333333333331</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201</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9</v>
      </c>
      <c r="E2" s="92">
        <f>D2/Kaikki!C2</f>
        <v>0.25</v>
      </c>
      <c r="F2">
        <v>0</v>
      </c>
      <c r="G2" s="92">
        <f>F2/Kaikki!D2</f>
        <v>0</v>
      </c>
      <c r="H2">
        <v>0</v>
      </c>
      <c r="I2" s="92">
        <f>H2/Kaikki!E2</f>
        <v>0</v>
      </c>
      <c r="J2">
        <v>0</v>
      </c>
      <c r="K2" s="92">
        <f>J2/Kaikki!F2</f>
        <v>0</v>
      </c>
      <c r="L2">
        <v>0</v>
      </c>
      <c r="M2" s="92">
        <f>L2/Kaikki!G2</f>
        <v>0</v>
      </c>
      <c r="N2">
        <f t="shared" ref="N2:N4" si="0">SUM(B2,D2,F2,H2,J2,L2)</f>
        <v>10</v>
      </c>
      <c r="O2" s="92">
        <f>N2/Kaikki!H2</f>
        <v>0.15873015873015872</v>
      </c>
    </row>
    <row r="3" spans="1:15" x14ac:dyDescent="0.2">
      <c r="A3" t="s">
        <v>190</v>
      </c>
      <c r="B3">
        <v>1</v>
      </c>
      <c r="C3" s="93">
        <f>(B3+B4)/(Kaikki!B3+Kaikki!B4)</f>
        <v>0.25</v>
      </c>
      <c r="D3">
        <v>7</v>
      </c>
      <c r="E3" s="93">
        <f>(D3+D4)/(Kaikki!C3+Kaikki!C4)</f>
        <v>0.29166666666666669</v>
      </c>
      <c r="F3">
        <v>0</v>
      </c>
      <c r="G3" s="93" t="e">
        <f>(F3+F4)/(Kaikki!D3+Kaikki!D4)</f>
        <v>#DIV/0!</v>
      </c>
      <c r="H3">
        <v>0</v>
      </c>
      <c r="I3" s="93">
        <f>(H3+H4)/(Kaikki!E3+Kaikki!E4)</f>
        <v>0</v>
      </c>
      <c r="J3">
        <v>0</v>
      </c>
      <c r="K3" s="93" t="e">
        <f>(J3+J4)/(Kaikki!F3+Kaikki!F4)</f>
        <v>#DIV/0!</v>
      </c>
      <c r="L3">
        <v>0</v>
      </c>
      <c r="M3" s="93">
        <f>(L3+L4)/(Kaikki!G3+Kaikki!G4)</f>
        <v>0</v>
      </c>
      <c r="N3">
        <f t="shared" si="0"/>
        <v>8</v>
      </c>
      <c r="O3" s="93">
        <f>(N3+N4)/(Kaikki!H3+Kaikki!H4)</f>
        <v>0.22222222222222221</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1</v>
      </c>
      <c r="D5" s="92">
        <f>SUM(D3:D4)/D2</f>
        <v>0.77777777777777779</v>
      </c>
      <c r="F5" s="92" t="e">
        <f>SUM(F3:F4)/F2</f>
        <v>#DIV/0!</v>
      </c>
      <c r="H5" s="92" t="e">
        <f>SUM(H3:H4)/H2</f>
        <v>#DIV/0!</v>
      </c>
      <c r="J5" s="92" t="e">
        <f>SUM(J3:J4)/J2</f>
        <v>#DIV/0!</v>
      </c>
      <c r="L5" s="92" t="e">
        <f>SUM(L3:L4)/L2</f>
        <v>#DIV/0!</v>
      </c>
      <c r="N5" s="92">
        <f>SUM(N3:N4)/N2</f>
        <v>0.8</v>
      </c>
    </row>
    <row r="7" spans="1:15" x14ac:dyDescent="0.2">
      <c r="A7" t="s">
        <v>197</v>
      </c>
      <c r="B7">
        <v>1</v>
      </c>
      <c r="C7" s="92">
        <f>B7/Kaikki!B2</f>
        <v>0.16666666666666666</v>
      </c>
      <c r="D7">
        <v>5</v>
      </c>
      <c r="E7" s="92">
        <f>D7/Kaikki!C2</f>
        <v>0.1388888888888889</v>
      </c>
      <c r="F7">
        <v>0</v>
      </c>
      <c r="G7" s="92">
        <f>F7/Kaikki!D2</f>
        <v>0</v>
      </c>
      <c r="H7">
        <v>0</v>
      </c>
      <c r="I7" s="92">
        <f>H7/Kaikki!E2</f>
        <v>0</v>
      </c>
      <c r="J7">
        <v>0</v>
      </c>
      <c r="K7" s="92">
        <f>J7/Kaikki!F2</f>
        <v>0</v>
      </c>
      <c r="L7">
        <v>1</v>
      </c>
      <c r="M7" s="92">
        <f>L7/Kaikki!G2</f>
        <v>0.14285714285714285</v>
      </c>
      <c r="N7">
        <f t="shared" ref="N7:N9" si="1">SUM(B7,D7,F7,H7,J7,L7)</f>
        <v>7</v>
      </c>
      <c r="O7" s="92">
        <f>N7/Kaikki!H2</f>
        <v>0.1111111111111111</v>
      </c>
    </row>
    <row r="8" spans="1:15" x14ac:dyDescent="0.2">
      <c r="A8" t="s">
        <v>198</v>
      </c>
      <c r="B8">
        <v>1</v>
      </c>
      <c r="C8" s="93">
        <f>(B8+B9)/(Kaikki!B3+Kaikki!B4)</f>
        <v>0.25</v>
      </c>
      <c r="D8">
        <v>4</v>
      </c>
      <c r="E8" s="93">
        <f>(D8+D9)/(Kaikki!C3+Kaikki!C4)</f>
        <v>0.16666666666666666</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1</v>
      </c>
      <c r="D10" s="92">
        <f>SUM(D8:D9)/D7</f>
        <v>0.8</v>
      </c>
      <c r="F10" s="92" t="e">
        <f>SUM(F8:F9)/F7</f>
        <v>#DIV/0!</v>
      </c>
      <c r="H10" s="92" t="e">
        <f>SUM(H8:H9)/H7</f>
        <v>#DIV/0!</v>
      </c>
      <c r="J10" s="92" t="e">
        <f>SUM(J8:J9)/J7</f>
        <v>#DIV/0!</v>
      </c>
      <c r="L10" s="92">
        <f>SUM(L8:L9)/L7</f>
        <v>1</v>
      </c>
      <c r="N10" s="92">
        <f>SUM(N8:N9)/N7</f>
        <v>0.8571428571428571</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O10"/>
  <sheetViews>
    <sheetView workbookViewId="0">
      <selection activeCell="K17" sqref="K17"/>
    </sheetView>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200</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5</v>
      </c>
      <c r="E2" s="92">
        <f>D2/Kaikki!C2</f>
        <v>0.1388888888888889</v>
      </c>
      <c r="F2">
        <v>0</v>
      </c>
      <c r="G2" s="92">
        <f>F2/Kaikki!D2</f>
        <v>0</v>
      </c>
      <c r="H2">
        <v>0</v>
      </c>
      <c r="I2" s="92">
        <f>H2/Kaikki!E2</f>
        <v>0</v>
      </c>
      <c r="J2">
        <v>0</v>
      </c>
      <c r="K2" s="92">
        <f>J2/Kaikki!F2</f>
        <v>0</v>
      </c>
      <c r="L2">
        <v>4</v>
      </c>
      <c r="M2" s="92">
        <f>L2/Kaikki!G2</f>
        <v>0.5714285714285714</v>
      </c>
      <c r="N2">
        <f t="shared" ref="N2:N4" si="0">SUM(B2,D2,F2,H2,J2,L2)</f>
        <v>10</v>
      </c>
      <c r="O2" s="92">
        <f>N2/Kaikki!H2</f>
        <v>0.15873015873015872</v>
      </c>
    </row>
    <row r="3" spans="1:15" x14ac:dyDescent="0.2">
      <c r="A3" t="s">
        <v>190</v>
      </c>
      <c r="B3">
        <v>1</v>
      </c>
      <c r="C3" s="93">
        <f>(B3+B4)/(Kaikki!B3+Kaikki!B4)</f>
        <v>0.25</v>
      </c>
      <c r="D3">
        <v>3</v>
      </c>
      <c r="E3" s="93">
        <f>(D3+D4)/(Kaikki!C3+Kaikki!C4)</f>
        <v>0.125</v>
      </c>
      <c r="F3">
        <v>0</v>
      </c>
      <c r="G3" s="93" t="e">
        <f>(F3+F4)/(Kaikki!D3+Kaikki!D4)</f>
        <v>#DIV/0!</v>
      </c>
      <c r="H3">
        <v>0</v>
      </c>
      <c r="I3" s="93">
        <f>(H3+H4)/(Kaikki!E3+Kaikki!E4)</f>
        <v>0</v>
      </c>
      <c r="J3">
        <v>0</v>
      </c>
      <c r="K3" s="93" t="e">
        <f>(J3+J4)/(Kaikki!F3+Kaikki!F4)</f>
        <v>#DIV/0!</v>
      </c>
      <c r="L3">
        <v>3</v>
      </c>
      <c r="M3" s="93">
        <f>(L3+L4)/(Kaikki!G3+Kaikki!G4)</f>
        <v>0.6</v>
      </c>
      <c r="N3">
        <f t="shared" si="0"/>
        <v>7</v>
      </c>
      <c r="O3" s="93">
        <f>(N3+N4)/(Kaikki!H3+Kaikki!H4)</f>
        <v>0.19444444444444445</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1</v>
      </c>
      <c r="D5" s="92">
        <f>SUM(D3:D4)/D2</f>
        <v>0.6</v>
      </c>
      <c r="F5" s="92" t="e">
        <f>SUM(F3:F4)/F2</f>
        <v>#DIV/0!</v>
      </c>
      <c r="H5" s="92" t="e">
        <f>SUM(H3:H4)/H2</f>
        <v>#DIV/0!</v>
      </c>
      <c r="J5" s="92" t="e">
        <f>SUM(J3:J4)/J2</f>
        <v>#DIV/0!</v>
      </c>
      <c r="L5" s="92">
        <f>SUM(L3:L4)/L2</f>
        <v>0.75</v>
      </c>
      <c r="N5" s="92">
        <f>SUM(N3:N4)/N2</f>
        <v>0.7</v>
      </c>
    </row>
    <row r="7" spans="1:15" x14ac:dyDescent="0.2">
      <c r="A7" t="s">
        <v>197</v>
      </c>
      <c r="B7">
        <v>2</v>
      </c>
      <c r="C7" s="92">
        <f>B7/Kaikki!B2</f>
        <v>0.33333333333333331</v>
      </c>
      <c r="D7">
        <v>8</v>
      </c>
      <c r="E7" s="92">
        <f>D7/Kaikki!C2</f>
        <v>0.22222222222222221</v>
      </c>
      <c r="F7">
        <v>0</v>
      </c>
      <c r="G7" s="92">
        <f>F7/Kaikki!D2</f>
        <v>0</v>
      </c>
      <c r="H7">
        <v>1</v>
      </c>
      <c r="I7" s="92">
        <f>H7/Kaikki!E2</f>
        <v>9.0909090909090912E-2</v>
      </c>
      <c r="J7">
        <v>0</v>
      </c>
      <c r="K7" s="92">
        <f>J7/Kaikki!F2</f>
        <v>0</v>
      </c>
      <c r="L7">
        <v>2</v>
      </c>
      <c r="M7" s="92">
        <f>L7/Kaikki!G2</f>
        <v>0.2857142857142857</v>
      </c>
      <c r="N7">
        <f t="shared" ref="N7:N9" si="1">SUM(B7,D7,F7,H7,J7,L7)</f>
        <v>13</v>
      </c>
      <c r="O7" s="92">
        <f>N7/Kaikki!H2</f>
        <v>0.20634920634920634</v>
      </c>
    </row>
    <row r="8" spans="1:15" x14ac:dyDescent="0.2">
      <c r="A8" t="s">
        <v>198</v>
      </c>
      <c r="B8">
        <v>0</v>
      </c>
      <c r="C8" s="93">
        <f>(B8+B9)/(Kaikki!B3+Kaikki!B4)</f>
        <v>0.25</v>
      </c>
      <c r="D8">
        <v>3</v>
      </c>
      <c r="E8" s="93">
        <f>(D8+D9)/(Kaikki!C3+Kaikki!C4)</f>
        <v>0.125</v>
      </c>
      <c r="F8">
        <v>0</v>
      </c>
      <c r="G8" s="93" t="e">
        <f>(F8+F9)/(Kaikki!D3+Kaikki!D4)</f>
        <v>#DIV/0!</v>
      </c>
      <c r="H8">
        <v>0</v>
      </c>
      <c r="I8" s="93">
        <f>(H8+H9)/(Kaikki!E3+Kaikki!E4)</f>
        <v>0</v>
      </c>
      <c r="J8">
        <v>0</v>
      </c>
      <c r="K8" s="93" t="e">
        <f>(J8+J9)/(Kaikki!F3+Kaikki!F4)</f>
        <v>#DIV/0!</v>
      </c>
      <c r="L8">
        <v>1</v>
      </c>
      <c r="M8" s="93">
        <f>(L8+L9)/(Kaikki!G3+Kaikki!G4)</f>
        <v>0.2</v>
      </c>
      <c r="N8">
        <f t="shared" si="1"/>
        <v>4</v>
      </c>
      <c r="O8" s="93">
        <f>(N8+N9)/(Kaikki!H3+Kaikki!H4)</f>
        <v>0.1388888888888889</v>
      </c>
    </row>
    <row r="9" spans="1:15" x14ac:dyDescent="0.2">
      <c r="A9" t="s">
        <v>199</v>
      </c>
      <c r="B9">
        <v>1</v>
      </c>
      <c r="C9" s="93"/>
      <c r="D9">
        <v>0</v>
      </c>
      <c r="E9" s="93"/>
      <c r="F9">
        <v>0</v>
      </c>
      <c r="G9" s="93"/>
      <c r="H9">
        <v>0</v>
      </c>
      <c r="I9" s="93"/>
      <c r="J9">
        <v>0</v>
      </c>
      <c r="K9" s="93"/>
      <c r="L9">
        <v>0</v>
      </c>
      <c r="M9" s="93"/>
      <c r="N9">
        <f t="shared" si="1"/>
        <v>1</v>
      </c>
      <c r="O9" s="93"/>
    </row>
    <row r="10" spans="1:15" x14ac:dyDescent="0.2">
      <c r="A10" t="s">
        <v>196</v>
      </c>
      <c r="B10" s="92">
        <f>SUM(B8:B9)/B7</f>
        <v>0.5</v>
      </c>
      <c r="D10" s="92">
        <f>SUM(D8:D9)/D7</f>
        <v>0.375</v>
      </c>
      <c r="F10" s="92" t="e">
        <f>SUM(F8:F9)/F7</f>
        <v>#DIV/0!</v>
      </c>
      <c r="H10" s="92">
        <f>SUM(H8:H9)/H7</f>
        <v>0</v>
      </c>
      <c r="J10" s="92" t="e">
        <f>SUM(J8:J9)/J7</f>
        <v>#DIV/0!</v>
      </c>
      <c r="L10" s="92">
        <f>SUM(L8:L9)/L7</f>
        <v>0.5</v>
      </c>
      <c r="N10" s="92">
        <f>SUM(N8:N9)/N7</f>
        <v>0.38461538461538464</v>
      </c>
    </row>
  </sheetData>
  <mergeCells count="14">
    <mergeCell ref="C3:C4"/>
    <mergeCell ref="C8:C9"/>
    <mergeCell ref="E3:E4"/>
    <mergeCell ref="E8:E9"/>
    <mergeCell ref="G3:G4"/>
    <mergeCell ref="G8:G9"/>
    <mergeCell ref="O3:O4"/>
    <mergeCell ref="O8:O9"/>
    <mergeCell ref="I3:I4"/>
    <mergeCell ref="I8:I9"/>
    <mergeCell ref="K3:K4"/>
    <mergeCell ref="K8:K9"/>
    <mergeCell ref="M3:M4"/>
    <mergeCell ref="M8:M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857"/>
  <sheetViews>
    <sheetView topLeftCell="A50" zoomScale="150" zoomScaleNormal="150" workbookViewId="0">
      <selection activeCell="E1" sqref="E1"/>
    </sheetView>
  </sheetViews>
  <sheetFormatPr defaultRowHeight="11.25" x14ac:dyDescent="0.2"/>
  <cols>
    <col min="1" max="1" width="6.28515625" style="1" customWidth="1"/>
    <col min="2" max="2" width="9.7109375" style="46" customWidth="1"/>
    <col min="3" max="3" width="10.28515625" style="46" customWidth="1"/>
    <col min="4" max="4" width="6" style="2" customWidth="1"/>
    <col min="5" max="5" width="49.140625" style="3" customWidth="1"/>
    <col min="6" max="6" width="5.28515625" style="3" customWidth="1"/>
    <col min="7" max="7" width="9.140625" style="2"/>
    <col min="8" max="8" width="9.140625" style="2" customWidth="1"/>
    <col min="9" max="9" width="9.85546875" style="57" customWidth="1"/>
    <col min="10" max="16384" width="9.140625" style="2"/>
  </cols>
  <sheetData>
    <row r="1" spans="1:9" s="7" customFormat="1" ht="12.75" x14ac:dyDescent="0.2">
      <c r="A1" s="4"/>
      <c r="B1" s="51"/>
      <c r="C1" s="51"/>
      <c r="D1" s="5"/>
      <c r="E1" s="68" t="s">
        <v>157</v>
      </c>
      <c r="F1" s="6"/>
      <c r="I1" s="55"/>
    </row>
    <row r="2" spans="1:9" s="5" customFormat="1" x14ac:dyDescent="0.2">
      <c r="A2" s="4"/>
      <c r="B2" s="51"/>
      <c r="C2" s="51"/>
      <c r="E2" s="8"/>
      <c r="F2" s="8"/>
      <c r="I2" s="56"/>
    </row>
    <row r="3" spans="1:9" s="5" customFormat="1" ht="33.75" x14ac:dyDescent="0.2">
      <c r="A3" s="4"/>
      <c r="B3" s="51"/>
      <c r="C3" s="51"/>
      <c r="E3" s="9" t="s">
        <v>159</v>
      </c>
      <c r="F3" s="8"/>
      <c r="I3" s="56"/>
    </row>
    <row r="4" spans="1:9" s="48" customFormat="1" x14ac:dyDescent="0.2">
      <c r="A4" s="47"/>
      <c r="B4" s="51"/>
      <c r="C4" s="51"/>
      <c r="E4" s="52"/>
      <c r="F4" s="51"/>
      <c r="I4" s="56"/>
    </row>
    <row r="5" spans="1:9" s="5" customFormat="1" x14ac:dyDescent="0.2">
      <c r="A5" s="4"/>
      <c r="B5" s="51"/>
      <c r="C5" s="51"/>
      <c r="E5" s="8"/>
      <c r="F5" s="8"/>
      <c r="I5" s="56"/>
    </row>
    <row r="6" spans="1:9" s="7" customFormat="1" ht="22.5" x14ac:dyDescent="0.2">
      <c r="A6" s="10" t="s">
        <v>0</v>
      </c>
      <c r="B6" s="49" t="s">
        <v>3</v>
      </c>
      <c r="C6" s="49" t="s">
        <v>4</v>
      </c>
      <c r="D6" s="7" t="s">
        <v>1</v>
      </c>
      <c r="E6" s="6" t="s">
        <v>2</v>
      </c>
      <c r="F6" s="6" t="s">
        <v>5</v>
      </c>
      <c r="G6" s="7" t="s">
        <v>6</v>
      </c>
      <c r="H6" s="7" t="s">
        <v>7</v>
      </c>
      <c r="I6" s="61" t="s">
        <v>10</v>
      </c>
    </row>
    <row r="7" spans="1:9" x14ac:dyDescent="0.2">
      <c r="I7" s="62"/>
    </row>
    <row r="8" spans="1:9" ht="12.75" x14ac:dyDescent="0.2">
      <c r="A8" s="40" t="s">
        <v>156</v>
      </c>
      <c r="B8" s="49"/>
      <c r="C8" s="49"/>
      <c r="D8" s="50"/>
      <c r="F8" s="49"/>
      <c r="G8" s="50"/>
      <c r="H8" s="50"/>
      <c r="I8" s="55"/>
    </row>
    <row r="9" spans="1:9" x14ac:dyDescent="0.2">
      <c r="A9" s="44"/>
      <c r="D9" s="45"/>
      <c r="E9" s="46"/>
      <c r="F9" s="50"/>
      <c r="G9" s="49"/>
      <c r="H9" s="50"/>
      <c r="I9" s="55"/>
    </row>
    <row r="10" spans="1:9" ht="45" x14ac:dyDescent="0.2">
      <c r="A10" s="44">
        <v>206</v>
      </c>
      <c r="B10" s="46" t="s">
        <v>122</v>
      </c>
      <c r="C10" s="46" t="s">
        <v>123</v>
      </c>
      <c r="D10" s="45" t="s">
        <v>16</v>
      </c>
      <c r="E10" s="46" t="s">
        <v>124</v>
      </c>
      <c r="F10" s="46" t="s">
        <v>8</v>
      </c>
      <c r="G10" s="46" t="s">
        <v>136</v>
      </c>
      <c r="H10" s="45"/>
      <c r="I10" s="57">
        <v>7</v>
      </c>
    </row>
    <row r="11" spans="1:9" s="45" customFormat="1" ht="45" x14ac:dyDescent="0.2">
      <c r="A11" s="44">
        <v>206</v>
      </c>
      <c r="B11" s="46" t="s">
        <v>137</v>
      </c>
      <c r="C11" s="46"/>
      <c r="D11" s="45" t="s">
        <v>16</v>
      </c>
      <c r="E11" s="49" t="s">
        <v>138</v>
      </c>
      <c r="F11" s="46" t="s">
        <v>135</v>
      </c>
      <c r="G11" s="46" t="s">
        <v>8</v>
      </c>
      <c r="H11" s="45" t="s">
        <v>8</v>
      </c>
      <c r="I11" s="57">
        <v>7</v>
      </c>
    </row>
    <row r="12" spans="1:9" ht="45" x14ac:dyDescent="0.2">
      <c r="A12" s="44" t="s">
        <v>125</v>
      </c>
      <c r="B12" s="46" t="s">
        <v>122</v>
      </c>
      <c r="C12" s="49" t="s">
        <v>126</v>
      </c>
      <c r="D12" s="45" t="s">
        <v>11</v>
      </c>
      <c r="E12" s="46" t="s">
        <v>139</v>
      </c>
      <c r="F12" s="46" t="s">
        <v>8</v>
      </c>
      <c r="G12" s="46" t="s">
        <v>136</v>
      </c>
      <c r="H12" s="45"/>
      <c r="I12" s="57">
        <v>7</v>
      </c>
    </row>
    <row r="13" spans="1:9" s="45" customFormat="1" ht="33.75" x14ac:dyDescent="0.2">
      <c r="A13" s="44" t="s">
        <v>125</v>
      </c>
      <c r="B13" s="46" t="s">
        <v>137</v>
      </c>
      <c r="C13" s="46"/>
      <c r="D13" s="45" t="s">
        <v>11</v>
      </c>
      <c r="E13" s="46" t="s">
        <v>140</v>
      </c>
      <c r="F13" s="46" t="s">
        <v>135</v>
      </c>
      <c r="G13" s="46" t="s">
        <v>8</v>
      </c>
      <c r="H13" s="45" t="s">
        <v>8</v>
      </c>
      <c r="I13" s="57">
        <v>7</v>
      </c>
    </row>
    <row r="14" spans="1:9" ht="33.75" x14ac:dyDescent="0.2">
      <c r="A14" s="44" t="s">
        <v>125</v>
      </c>
      <c r="B14" s="46" t="s">
        <v>127</v>
      </c>
      <c r="C14" s="49" t="s">
        <v>126</v>
      </c>
      <c r="D14" s="45" t="s">
        <v>16</v>
      </c>
      <c r="E14" s="46" t="s">
        <v>141</v>
      </c>
      <c r="F14" s="46" t="s">
        <v>8</v>
      </c>
      <c r="G14" s="46" t="s">
        <v>9</v>
      </c>
      <c r="H14" s="45" t="s">
        <v>9</v>
      </c>
      <c r="I14" s="57">
        <v>7</v>
      </c>
    </row>
    <row r="15" spans="1:9" ht="45" x14ac:dyDescent="0.2">
      <c r="A15" s="44">
        <v>209</v>
      </c>
      <c r="B15" s="49" t="s">
        <v>126</v>
      </c>
      <c r="C15" s="46" t="s">
        <v>127</v>
      </c>
      <c r="D15" s="45" t="s">
        <v>16</v>
      </c>
      <c r="E15" s="46" t="s">
        <v>128</v>
      </c>
      <c r="F15" s="46" t="s">
        <v>8</v>
      </c>
      <c r="G15" s="46" t="s">
        <v>9</v>
      </c>
      <c r="H15" s="45" t="s">
        <v>8</v>
      </c>
      <c r="I15" s="57">
        <v>7</v>
      </c>
    </row>
    <row r="16" spans="1:9" ht="67.5" x14ac:dyDescent="0.2">
      <c r="A16" s="44" t="s">
        <v>129</v>
      </c>
      <c r="B16" s="46" t="s">
        <v>123</v>
      </c>
      <c r="C16" s="46" t="s">
        <v>130</v>
      </c>
      <c r="D16" s="45" t="s">
        <v>11</v>
      </c>
      <c r="E16" s="46" t="s">
        <v>131</v>
      </c>
      <c r="F16" s="46" t="s">
        <v>9</v>
      </c>
      <c r="G16" s="46" t="s">
        <v>9</v>
      </c>
      <c r="H16" s="45" t="s">
        <v>9</v>
      </c>
      <c r="I16" s="57">
        <v>7</v>
      </c>
    </row>
    <row r="17" spans="1:9" s="22" customFormat="1" ht="34.5" thickBot="1" x14ac:dyDescent="0.25">
      <c r="A17" s="21">
        <v>229</v>
      </c>
      <c r="B17" s="23" t="s">
        <v>132</v>
      </c>
      <c r="C17" s="23" t="s">
        <v>133</v>
      </c>
      <c r="D17" s="22" t="s">
        <v>16</v>
      </c>
      <c r="E17" s="23" t="s">
        <v>134</v>
      </c>
      <c r="F17" s="23" t="s">
        <v>8</v>
      </c>
      <c r="G17" s="23" t="s">
        <v>8</v>
      </c>
      <c r="H17" s="22" t="s">
        <v>8</v>
      </c>
      <c r="I17" s="58">
        <v>7</v>
      </c>
    </row>
    <row r="18" spans="1:9" s="20" customFormat="1" ht="12.75" x14ac:dyDescent="0.2">
      <c r="A18" s="24"/>
      <c r="B18" s="25"/>
      <c r="C18" s="25"/>
      <c r="E18" s="25"/>
      <c r="F18" s="25"/>
      <c r="G18" s="43"/>
      <c r="H18" s="43"/>
      <c r="I18" s="59"/>
    </row>
    <row r="19" spans="1:9" s="45" customFormat="1" ht="12.75" x14ac:dyDescent="0.2">
      <c r="A19" s="40" t="s">
        <v>155</v>
      </c>
      <c r="B19" s="46"/>
      <c r="C19" s="46"/>
      <c r="E19" s="46"/>
      <c r="F19" s="46"/>
      <c r="G19" s="43"/>
      <c r="H19" s="43"/>
      <c r="I19" s="57"/>
    </row>
    <row r="20" spans="1:9" s="45" customFormat="1" ht="12.75" x14ac:dyDescent="0.2">
      <c r="A20" s="40"/>
      <c r="B20" s="46"/>
      <c r="C20" s="46"/>
      <c r="E20" s="46"/>
      <c r="F20" s="46"/>
      <c r="G20" s="43"/>
      <c r="H20" s="43"/>
      <c r="I20" s="57"/>
    </row>
    <row r="21" spans="1:9" ht="45" x14ac:dyDescent="0.2">
      <c r="A21" s="1">
        <v>22</v>
      </c>
      <c r="B21" s="46" t="s">
        <v>88</v>
      </c>
      <c r="C21" s="49" t="s">
        <v>93</v>
      </c>
      <c r="D21" s="2" t="s">
        <v>11</v>
      </c>
      <c r="E21" s="13" t="s">
        <v>17</v>
      </c>
      <c r="F21" s="3" t="s">
        <v>9</v>
      </c>
      <c r="G21" s="2" t="s">
        <v>21</v>
      </c>
      <c r="I21" s="57">
        <v>8</v>
      </c>
    </row>
    <row r="22" spans="1:9" s="72" customFormat="1" ht="22.5" x14ac:dyDescent="0.2">
      <c r="A22" s="70">
        <v>31</v>
      </c>
      <c r="B22" s="71" t="s">
        <v>94</v>
      </c>
      <c r="C22" s="84" t="s">
        <v>93</v>
      </c>
      <c r="D22" s="72" t="s">
        <v>16</v>
      </c>
      <c r="E22" s="73" t="s">
        <v>18</v>
      </c>
      <c r="F22" s="46" t="s">
        <v>8</v>
      </c>
      <c r="G22" s="72" t="s">
        <v>9</v>
      </c>
      <c r="H22" s="72" t="s">
        <v>8</v>
      </c>
      <c r="I22" s="74">
        <v>8</v>
      </c>
    </row>
    <row r="23" spans="1:9" s="77" customFormat="1" ht="78.75" x14ac:dyDescent="0.2">
      <c r="A23" s="70">
        <v>31</v>
      </c>
      <c r="B23" s="85" t="s">
        <v>93</v>
      </c>
      <c r="C23" s="70" t="s">
        <v>94</v>
      </c>
      <c r="D23" s="70" t="s">
        <v>16</v>
      </c>
      <c r="E23" s="79" t="s">
        <v>20</v>
      </c>
      <c r="F23" s="46" t="s">
        <v>8</v>
      </c>
      <c r="G23" s="77" t="s">
        <v>9</v>
      </c>
      <c r="H23" s="77" t="s">
        <v>8</v>
      </c>
      <c r="I23" s="78">
        <v>8</v>
      </c>
    </row>
    <row r="24" spans="1:9" s="20" customFormat="1" ht="33.75" x14ac:dyDescent="0.2">
      <c r="A24" s="24">
        <v>32</v>
      </c>
      <c r="B24" s="86" t="s">
        <v>93</v>
      </c>
      <c r="C24" s="25" t="s">
        <v>160</v>
      </c>
      <c r="D24" s="20" t="s">
        <v>11</v>
      </c>
      <c r="E24" s="75" t="s">
        <v>161</v>
      </c>
      <c r="F24" s="25"/>
      <c r="H24" s="20" t="s">
        <v>9</v>
      </c>
      <c r="I24" s="59"/>
    </row>
    <row r="25" spans="1:9" s="22" customFormat="1" ht="23.25" thickBot="1" x14ac:dyDescent="0.25">
      <c r="A25" s="21">
        <v>36</v>
      </c>
      <c r="B25" s="23" t="s">
        <v>88</v>
      </c>
      <c r="C25" s="87" t="s">
        <v>93</v>
      </c>
      <c r="D25" s="22" t="s">
        <v>11</v>
      </c>
      <c r="E25" s="37" t="s">
        <v>19</v>
      </c>
      <c r="F25" s="23" t="s">
        <v>9</v>
      </c>
      <c r="G25" s="22" t="s">
        <v>21</v>
      </c>
      <c r="H25" s="22" t="s">
        <v>9</v>
      </c>
      <c r="I25" s="58">
        <v>8</v>
      </c>
    </row>
    <row r="26" spans="1:9" s="20" customFormat="1" ht="22.5" x14ac:dyDescent="0.2">
      <c r="A26" s="17">
        <v>53</v>
      </c>
      <c r="B26" s="19" t="s">
        <v>110</v>
      </c>
      <c r="C26" s="19" t="s">
        <v>109</v>
      </c>
      <c r="D26" s="18" t="s">
        <v>16</v>
      </c>
      <c r="E26" s="19" t="s">
        <v>32</v>
      </c>
      <c r="F26" s="19" t="s">
        <v>8</v>
      </c>
      <c r="G26" s="20" t="s">
        <v>8</v>
      </c>
      <c r="H26" s="20" t="s">
        <v>8</v>
      </c>
      <c r="I26" s="59">
        <v>8</v>
      </c>
    </row>
    <row r="27" spans="1:9" ht="22.5" x14ac:dyDescent="0.2">
      <c r="A27" s="14">
        <v>55</v>
      </c>
      <c r="B27" s="16" t="s">
        <v>91</v>
      </c>
      <c r="C27" s="16" t="s">
        <v>95</v>
      </c>
      <c r="D27" s="15" t="s">
        <v>16</v>
      </c>
      <c r="E27" s="16" t="s">
        <v>33</v>
      </c>
      <c r="F27" s="16" t="s">
        <v>9</v>
      </c>
      <c r="G27" s="2" t="s">
        <v>21</v>
      </c>
      <c r="H27" s="45" t="s">
        <v>21</v>
      </c>
      <c r="I27" s="57">
        <v>8</v>
      </c>
    </row>
    <row r="28" spans="1:9" ht="22.5" x14ac:dyDescent="0.2">
      <c r="A28" s="14">
        <v>56</v>
      </c>
      <c r="B28" s="16" t="s">
        <v>92</v>
      </c>
      <c r="C28" s="16" t="s">
        <v>111</v>
      </c>
      <c r="D28" s="15" t="s">
        <v>11</v>
      </c>
      <c r="E28" s="16" t="s">
        <v>23</v>
      </c>
      <c r="F28" s="16" t="s">
        <v>8</v>
      </c>
      <c r="G28" s="2" t="s">
        <v>8</v>
      </c>
      <c r="H28" s="45" t="s">
        <v>8</v>
      </c>
      <c r="I28" s="57">
        <v>8</v>
      </c>
    </row>
    <row r="29" spans="1:9" ht="34.5" customHeight="1" x14ac:dyDescent="0.2">
      <c r="A29" s="14">
        <v>60</v>
      </c>
      <c r="B29" s="88" t="s">
        <v>113</v>
      </c>
      <c r="C29" s="16" t="s">
        <v>112</v>
      </c>
      <c r="D29" s="15" t="s">
        <v>16</v>
      </c>
      <c r="E29" s="16" t="s">
        <v>24</v>
      </c>
      <c r="F29" s="16" t="s">
        <v>8</v>
      </c>
      <c r="G29" s="2" t="s">
        <v>8</v>
      </c>
      <c r="H29" s="45" t="s">
        <v>8</v>
      </c>
      <c r="I29" s="57">
        <v>8</v>
      </c>
    </row>
    <row r="30" spans="1:9" s="22" customFormat="1" ht="23.25" thickBot="1" x14ac:dyDescent="0.25">
      <c r="A30" s="26">
        <v>63</v>
      </c>
      <c r="B30" s="28" t="s">
        <v>114</v>
      </c>
      <c r="C30" s="28" t="s">
        <v>113</v>
      </c>
      <c r="D30" s="27" t="s">
        <v>12</v>
      </c>
      <c r="E30" s="28" t="s">
        <v>26</v>
      </c>
      <c r="F30" s="28" t="s">
        <v>8</v>
      </c>
      <c r="G30" s="22" t="s">
        <v>9</v>
      </c>
      <c r="H30" s="22" t="s">
        <v>8</v>
      </c>
      <c r="I30" s="58">
        <v>8</v>
      </c>
    </row>
    <row r="31" spans="1:9" s="20" customFormat="1" ht="22.5" x14ac:dyDescent="0.2">
      <c r="A31" s="24" t="s">
        <v>40</v>
      </c>
      <c r="B31" s="86" t="s">
        <v>34</v>
      </c>
      <c r="C31" s="25" t="s">
        <v>108</v>
      </c>
      <c r="D31" s="20" t="s">
        <v>12</v>
      </c>
      <c r="E31" s="25" t="s">
        <v>35</v>
      </c>
      <c r="F31" s="25" t="s">
        <v>9</v>
      </c>
      <c r="G31" s="20" t="s">
        <v>21</v>
      </c>
      <c r="I31" s="59">
        <v>8</v>
      </c>
    </row>
    <row r="32" spans="1:9" ht="22.5" x14ac:dyDescent="0.2">
      <c r="A32" s="1">
        <v>67</v>
      </c>
      <c r="B32" s="46" t="s">
        <v>90</v>
      </c>
      <c r="C32" s="46" t="s">
        <v>107</v>
      </c>
      <c r="D32" s="2" t="s">
        <v>11</v>
      </c>
      <c r="E32" s="3" t="s">
        <v>42</v>
      </c>
      <c r="F32" s="3" t="s">
        <v>8</v>
      </c>
      <c r="G32" s="2" t="s">
        <v>9</v>
      </c>
      <c r="H32" s="45" t="s">
        <v>8</v>
      </c>
      <c r="I32" s="57">
        <v>8</v>
      </c>
    </row>
    <row r="33" spans="1:9" ht="118.5" customHeight="1" x14ac:dyDescent="0.2">
      <c r="A33" s="1">
        <v>68</v>
      </c>
      <c r="B33" s="46" t="s">
        <v>90</v>
      </c>
      <c r="C33" s="46" t="s">
        <v>99</v>
      </c>
      <c r="D33" s="2" t="s">
        <v>16</v>
      </c>
      <c r="E33" s="3" t="s">
        <v>36</v>
      </c>
      <c r="F33" s="3" t="s">
        <v>9</v>
      </c>
      <c r="G33" s="2" t="s">
        <v>21</v>
      </c>
      <c r="I33" s="57">
        <v>8</v>
      </c>
    </row>
    <row r="34" spans="1:9" ht="22.5" x14ac:dyDescent="0.2">
      <c r="A34" s="1">
        <v>68</v>
      </c>
      <c r="B34" s="46" t="s">
        <v>105</v>
      </c>
      <c r="C34" s="49" t="s">
        <v>104</v>
      </c>
      <c r="D34" s="2" t="s">
        <v>11</v>
      </c>
      <c r="E34" s="3" t="s">
        <v>37</v>
      </c>
      <c r="F34" s="3" t="s">
        <v>9</v>
      </c>
      <c r="G34" s="2" t="s">
        <v>21</v>
      </c>
      <c r="I34" s="57">
        <v>8</v>
      </c>
    </row>
    <row r="35" spans="1:9" ht="22.5" x14ac:dyDescent="0.2">
      <c r="A35" s="1" t="s">
        <v>41</v>
      </c>
      <c r="B35" s="46" t="s">
        <v>105</v>
      </c>
      <c r="C35" s="49" t="s">
        <v>104</v>
      </c>
      <c r="D35" s="2" t="s">
        <v>11</v>
      </c>
      <c r="E35" s="3" t="s">
        <v>38</v>
      </c>
      <c r="F35" s="3" t="s">
        <v>9</v>
      </c>
      <c r="G35" s="2" t="s">
        <v>21</v>
      </c>
      <c r="I35" s="57">
        <v>8</v>
      </c>
    </row>
    <row r="36" spans="1:9" ht="56.25" x14ac:dyDescent="0.2">
      <c r="A36" s="1" t="s">
        <v>43</v>
      </c>
      <c r="B36" s="46" t="s">
        <v>100</v>
      </c>
      <c r="C36" s="46" t="s">
        <v>101</v>
      </c>
      <c r="D36" s="2" t="s">
        <v>11</v>
      </c>
      <c r="E36" s="3" t="s">
        <v>44</v>
      </c>
      <c r="F36" s="3" t="s">
        <v>8</v>
      </c>
      <c r="G36" s="2" t="s">
        <v>8</v>
      </c>
      <c r="H36" s="45" t="s">
        <v>8</v>
      </c>
      <c r="I36" s="57">
        <v>8</v>
      </c>
    </row>
    <row r="37" spans="1:9" s="72" customFormat="1" ht="56.25" x14ac:dyDescent="0.2">
      <c r="A37" s="70">
        <v>76</v>
      </c>
      <c r="B37" s="71" t="s">
        <v>101</v>
      </c>
      <c r="C37" s="71" t="s">
        <v>106</v>
      </c>
      <c r="D37" s="72" t="s">
        <v>11</v>
      </c>
      <c r="E37" s="71" t="s">
        <v>45</v>
      </c>
      <c r="F37" s="71" t="s">
        <v>8</v>
      </c>
      <c r="G37" s="72" t="s">
        <v>8</v>
      </c>
      <c r="H37" s="72" t="s">
        <v>8</v>
      </c>
      <c r="I37" s="74">
        <v>8</v>
      </c>
    </row>
    <row r="38" spans="1:9" s="77" customFormat="1" ht="56.25" x14ac:dyDescent="0.2">
      <c r="A38" s="76" t="s">
        <v>46</v>
      </c>
      <c r="B38" s="52" t="s">
        <v>105</v>
      </c>
      <c r="C38" s="51" t="s">
        <v>104</v>
      </c>
      <c r="D38" s="77" t="s">
        <v>11</v>
      </c>
      <c r="E38" s="52" t="s">
        <v>39</v>
      </c>
      <c r="F38" s="52" t="s">
        <v>8</v>
      </c>
      <c r="G38" s="77" t="s">
        <v>9</v>
      </c>
      <c r="H38" s="77" t="s">
        <v>9</v>
      </c>
      <c r="I38" s="78">
        <v>8</v>
      </c>
    </row>
    <row r="39" spans="1:9" s="82" customFormat="1" ht="57" thickBot="1" x14ac:dyDescent="0.25">
      <c r="A39" s="80" t="s">
        <v>46</v>
      </c>
      <c r="B39" s="81" t="s">
        <v>162</v>
      </c>
      <c r="C39" s="90" t="s">
        <v>104</v>
      </c>
      <c r="D39" s="82" t="s">
        <v>11</v>
      </c>
      <c r="E39" s="81" t="s">
        <v>163</v>
      </c>
      <c r="F39" s="81"/>
      <c r="H39" s="82" t="s">
        <v>8</v>
      </c>
      <c r="I39" s="83"/>
    </row>
    <row r="40" spans="1:9" s="20" customFormat="1" ht="45" x14ac:dyDescent="0.2">
      <c r="A40" s="17" t="s">
        <v>27</v>
      </c>
      <c r="B40" s="19" t="s">
        <v>116</v>
      </c>
      <c r="C40" s="19" t="s">
        <v>114</v>
      </c>
      <c r="D40" s="18" t="s">
        <v>11</v>
      </c>
      <c r="E40" s="19" t="s">
        <v>47</v>
      </c>
      <c r="F40" s="19" t="s">
        <v>8</v>
      </c>
      <c r="G40" s="20" t="s">
        <v>8</v>
      </c>
      <c r="H40" s="20" t="s">
        <v>8</v>
      </c>
      <c r="I40" s="59">
        <v>8</v>
      </c>
    </row>
    <row r="41" spans="1:9" ht="22.5" x14ac:dyDescent="0.2">
      <c r="A41" s="14">
        <v>87</v>
      </c>
      <c r="B41" s="16" t="s">
        <v>118</v>
      </c>
      <c r="C41" s="16" t="s">
        <v>119</v>
      </c>
      <c r="D41" s="15" t="s">
        <v>22</v>
      </c>
      <c r="E41" s="16" t="s">
        <v>28</v>
      </c>
      <c r="F41" s="16" t="s">
        <v>9</v>
      </c>
      <c r="G41" s="2" t="s">
        <v>21</v>
      </c>
      <c r="I41" s="57">
        <v>8</v>
      </c>
    </row>
    <row r="42" spans="1:9" ht="33.75" x14ac:dyDescent="0.2">
      <c r="A42" s="14">
        <v>89</v>
      </c>
      <c r="B42" s="16" t="s">
        <v>111</v>
      </c>
      <c r="C42" s="16" t="s">
        <v>116</v>
      </c>
      <c r="D42" s="15" t="s">
        <v>48</v>
      </c>
      <c r="E42" s="19" t="s">
        <v>49</v>
      </c>
      <c r="F42" s="16" t="s">
        <v>8</v>
      </c>
      <c r="G42" s="2" t="s">
        <v>8</v>
      </c>
      <c r="H42" s="45" t="s">
        <v>8</v>
      </c>
      <c r="I42" s="57">
        <v>8</v>
      </c>
    </row>
    <row r="43" spans="1:9" ht="33.75" x14ac:dyDescent="0.2">
      <c r="A43" s="14" t="s">
        <v>29</v>
      </c>
      <c r="B43" s="16" t="s">
        <v>116</v>
      </c>
      <c r="C43" s="16" t="s">
        <v>114</v>
      </c>
      <c r="D43" s="15" t="s">
        <v>22</v>
      </c>
      <c r="E43" s="19" t="s">
        <v>50</v>
      </c>
      <c r="F43" s="16" t="s">
        <v>8</v>
      </c>
      <c r="G43" s="2" t="s">
        <v>8</v>
      </c>
      <c r="H43" s="45" t="s">
        <v>8</v>
      </c>
      <c r="I43" s="57">
        <v>8</v>
      </c>
    </row>
    <row r="44" spans="1:9" ht="22.5" x14ac:dyDescent="0.2">
      <c r="A44" s="14" t="s">
        <v>30</v>
      </c>
      <c r="B44" s="16" t="s">
        <v>120</v>
      </c>
      <c r="C44" s="16" t="s">
        <v>121</v>
      </c>
      <c r="D44" s="15" t="s">
        <v>25</v>
      </c>
      <c r="E44" s="19" t="s">
        <v>31</v>
      </c>
      <c r="F44" s="16" t="s">
        <v>8</v>
      </c>
      <c r="G44" s="2" t="s">
        <v>8</v>
      </c>
      <c r="H44" s="45" t="s">
        <v>8</v>
      </c>
      <c r="I44" s="57">
        <v>8</v>
      </c>
    </row>
    <row r="45" spans="1:9" s="22" customFormat="1" ht="23.25" thickBot="1" x14ac:dyDescent="0.25">
      <c r="A45" s="26">
        <v>96</v>
      </c>
      <c r="B45" s="28" t="s">
        <v>117</v>
      </c>
      <c r="C45" s="28" t="s">
        <v>115</v>
      </c>
      <c r="D45" s="27" t="s">
        <v>48</v>
      </c>
      <c r="E45" s="28" t="s">
        <v>51</v>
      </c>
      <c r="F45" s="28" t="s">
        <v>8</v>
      </c>
      <c r="G45" s="22" t="s">
        <v>8</v>
      </c>
      <c r="H45" s="22" t="s">
        <v>8</v>
      </c>
      <c r="I45" s="58">
        <v>8</v>
      </c>
    </row>
    <row r="46" spans="1:9" s="20" customFormat="1" ht="22.5" x14ac:dyDescent="0.2">
      <c r="A46" s="39">
        <v>105</v>
      </c>
      <c r="B46" s="46" t="s">
        <v>52</v>
      </c>
      <c r="C46" s="46" t="s">
        <v>53</v>
      </c>
      <c r="D46" s="20" t="s">
        <v>48</v>
      </c>
      <c r="E46" s="25" t="s">
        <v>61</v>
      </c>
      <c r="F46" s="25" t="s">
        <v>8</v>
      </c>
      <c r="G46" s="29" t="s">
        <v>8</v>
      </c>
      <c r="H46" s="45" t="s">
        <v>8</v>
      </c>
      <c r="I46" s="59">
        <v>8</v>
      </c>
    </row>
    <row r="47" spans="1:9" ht="101.25" x14ac:dyDescent="0.2">
      <c r="A47" s="30" t="s">
        <v>54</v>
      </c>
      <c r="B47" s="46" t="s">
        <v>52</v>
      </c>
      <c r="C47" s="46" t="s">
        <v>53</v>
      </c>
      <c r="D47" s="31" t="s">
        <v>22</v>
      </c>
      <c r="E47" s="32" t="s">
        <v>62</v>
      </c>
      <c r="F47" s="32" t="s">
        <v>8</v>
      </c>
      <c r="G47" s="46" t="s">
        <v>8</v>
      </c>
      <c r="H47" s="45" t="s">
        <v>8</v>
      </c>
      <c r="I47" s="57">
        <v>8</v>
      </c>
    </row>
    <row r="48" spans="1:9" ht="22.5" x14ac:dyDescent="0.2">
      <c r="A48" s="34">
        <v>105</v>
      </c>
      <c r="B48" s="46" t="s">
        <v>52</v>
      </c>
      <c r="C48" s="46" t="s">
        <v>53</v>
      </c>
      <c r="D48" s="31" t="s">
        <v>25</v>
      </c>
      <c r="E48" s="32" t="s">
        <v>63</v>
      </c>
      <c r="F48" s="32" t="s">
        <v>8</v>
      </c>
      <c r="G48" s="46" t="s">
        <v>8</v>
      </c>
      <c r="H48" s="45" t="s">
        <v>8</v>
      </c>
      <c r="I48" s="57">
        <v>8</v>
      </c>
    </row>
    <row r="49" spans="1:9" ht="101.25" x14ac:dyDescent="0.2">
      <c r="A49" s="34" t="s">
        <v>55</v>
      </c>
      <c r="B49" s="46" t="s">
        <v>56</v>
      </c>
      <c r="C49" s="46" t="s">
        <v>52</v>
      </c>
      <c r="D49" s="31" t="s">
        <v>22</v>
      </c>
      <c r="E49" s="32" t="s">
        <v>64</v>
      </c>
      <c r="F49" s="32" t="s">
        <v>8</v>
      </c>
      <c r="G49" s="46" t="s">
        <v>8</v>
      </c>
      <c r="H49" s="45" t="s">
        <v>8</v>
      </c>
      <c r="I49" s="57">
        <v>8</v>
      </c>
    </row>
    <row r="50" spans="1:9" ht="22.5" x14ac:dyDescent="0.2">
      <c r="A50" s="34">
        <v>111</v>
      </c>
      <c r="B50" s="49" t="s">
        <v>57</v>
      </c>
      <c r="C50" s="46" t="s">
        <v>58</v>
      </c>
      <c r="D50" s="31" t="s">
        <v>22</v>
      </c>
      <c r="E50" s="32" t="s">
        <v>59</v>
      </c>
      <c r="F50" s="32" t="s">
        <v>8</v>
      </c>
      <c r="G50" s="29" t="s">
        <v>8</v>
      </c>
      <c r="H50" s="45" t="s">
        <v>8</v>
      </c>
      <c r="I50" s="57">
        <v>8</v>
      </c>
    </row>
    <row r="51" spans="1:9" s="22" customFormat="1" ht="23.25" thickBot="1" x14ac:dyDescent="0.25">
      <c r="A51" s="35">
        <v>116</v>
      </c>
      <c r="B51" s="23" t="s">
        <v>52</v>
      </c>
      <c r="C51" s="23" t="s">
        <v>53</v>
      </c>
      <c r="D51" s="22" t="s">
        <v>22</v>
      </c>
      <c r="E51" s="23" t="s">
        <v>60</v>
      </c>
      <c r="F51" s="23" t="s">
        <v>8</v>
      </c>
      <c r="G51" s="36" t="s">
        <v>8</v>
      </c>
      <c r="H51" s="22" t="s">
        <v>8</v>
      </c>
      <c r="I51" s="58">
        <v>8</v>
      </c>
    </row>
    <row r="52" spans="1:9" s="20" customFormat="1" ht="22.5" x14ac:dyDescent="0.2">
      <c r="A52" s="24">
        <v>121</v>
      </c>
      <c r="B52" s="25" t="s">
        <v>65</v>
      </c>
      <c r="C52" s="25" t="s">
        <v>66</v>
      </c>
      <c r="D52" s="20" t="s">
        <v>22</v>
      </c>
      <c r="E52" s="25" t="s">
        <v>74</v>
      </c>
      <c r="F52" s="25" t="s">
        <v>8</v>
      </c>
      <c r="G52" s="20" t="s">
        <v>8</v>
      </c>
      <c r="H52" s="20" t="s">
        <v>8</v>
      </c>
      <c r="I52" s="59">
        <v>8</v>
      </c>
    </row>
    <row r="53" spans="1:9" s="20" customFormat="1" ht="22.5" x14ac:dyDescent="0.2">
      <c r="A53" s="24" t="s">
        <v>168</v>
      </c>
      <c r="B53" s="25" t="s">
        <v>160</v>
      </c>
      <c r="C53" s="25" t="s">
        <v>170</v>
      </c>
      <c r="D53" s="20" t="s">
        <v>12</v>
      </c>
      <c r="E53" s="25" t="s">
        <v>169</v>
      </c>
      <c r="F53" s="25"/>
      <c r="H53" s="20" t="s">
        <v>9</v>
      </c>
      <c r="I53" s="59"/>
    </row>
    <row r="54" spans="1:9" s="31" customFormat="1" ht="70.5" customHeight="1" x14ac:dyDescent="0.2">
      <c r="A54" s="24" t="s">
        <v>72</v>
      </c>
      <c r="B54" s="25" t="s">
        <v>65</v>
      </c>
      <c r="C54" s="25" t="s">
        <v>66</v>
      </c>
      <c r="D54" s="20" t="s">
        <v>22</v>
      </c>
      <c r="E54" s="25" t="s">
        <v>73</v>
      </c>
      <c r="F54" s="25" t="s">
        <v>8</v>
      </c>
      <c r="G54" s="20" t="s">
        <v>8</v>
      </c>
      <c r="H54" s="45" t="s">
        <v>8</v>
      </c>
      <c r="I54" s="57">
        <v>8</v>
      </c>
    </row>
    <row r="55" spans="1:9" s="31" customFormat="1" ht="33.75" x14ac:dyDescent="0.2">
      <c r="A55" s="24" t="s">
        <v>71</v>
      </c>
      <c r="B55" s="25" t="s">
        <v>65</v>
      </c>
      <c r="C55" s="25" t="s">
        <v>66</v>
      </c>
      <c r="D55" s="20" t="s">
        <v>48</v>
      </c>
      <c r="E55" s="25" t="s">
        <v>75</v>
      </c>
      <c r="F55" s="25" t="s">
        <v>8</v>
      </c>
      <c r="G55" s="20" t="s">
        <v>8</v>
      </c>
      <c r="H55" s="45" t="s">
        <v>8</v>
      </c>
      <c r="I55" s="57">
        <v>8</v>
      </c>
    </row>
    <row r="56" spans="1:9" s="22" customFormat="1" ht="23.25" thickBot="1" x14ac:dyDescent="0.25">
      <c r="A56" s="21" t="s">
        <v>67</v>
      </c>
      <c r="B56" s="23" t="s">
        <v>68</v>
      </c>
      <c r="C56" s="23" t="s">
        <v>69</v>
      </c>
      <c r="D56" s="22" t="s">
        <v>25</v>
      </c>
      <c r="E56" s="23" t="s">
        <v>70</v>
      </c>
      <c r="F56" s="23" t="s">
        <v>9</v>
      </c>
      <c r="G56" s="22" t="s">
        <v>21</v>
      </c>
      <c r="H56" s="22" t="s">
        <v>21</v>
      </c>
      <c r="I56" s="58">
        <v>8</v>
      </c>
    </row>
    <row r="57" spans="1:9" s="66" customFormat="1" ht="90" x14ac:dyDescent="0.2">
      <c r="A57" s="64" t="s">
        <v>164</v>
      </c>
      <c r="B57" s="65" t="s">
        <v>165</v>
      </c>
      <c r="C57" s="65" t="s">
        <v>109</v>
      </c>
      <c r="D57" s="66" t="s">
        <v>164</v>
      </c>
      <c r="E57" s="65" t="s">
        <v>166</v>
      </c>
      <c r="F57" s="65"/>
      <c r="H57" s="66" t="s">
        <v>8</v>
      </c>
      <c r="I57" s="67"/>
    </row>
    <row r="58" spans="1:9" s="66" customFormat="1" ht="157.5" x14ac:dyDescent="0.2">
      <c r="A58" s="64" t="s">
        <v>164</v>
      </c>
      <c r="B58" s="89" t="s">
        <v>113</v>
      </c>
      <c r="C58" s="65" t="s">
        <v>92</v>
      </c>
      <c r="D58" s="66" t="s">
        <v>164</v>
      </c>
      <c r="E58" s="65" t="s">
        <v>167</v>
      </c>
      <c r="F58" s="65"/>
      <c r="H58" s="66" t="s">
        <v>8</v>
      </c>
      <c r="I58" s="67"/>
    </row>
    <row r="59" spans="1:9" s="66" customFormat="1" ht="56.25" x14ac:dyDescent="0.2">
      <c r="A59" s="64" t="s">
        <v>164</v>
      </c>
      <c r="B59" s="65" t="s">
        <v>114</v>
      </c>
      <c r="C59" s="65" t="s">
        <v>94</v>
      </c>
      <c r="D59" s="66" t="s">
        <v>164</v>
      </c>
      <c r="E59" s="65" t="s">
        <v>172</v>
      </c>
      <c r="F59" s="65"/>
      <c r="H59" s="66" t="s">
        <v>9</v>
      </c>
      <c r="I59" s="67"/>
    </row>
    <row r="60" spans="1:9" s="66" customFormat="1" x14ac:dyDescent="0.2">
      <c r="A60" s="64"/>
      <c r="B60" s="65"/>
      <c r="C60" s="65"/>
      <c r="E60" s="65"/>
      <c r="F60" s="65"/>
      <c r="I60" s="67"/>
    </row>
    <row r="61" spans="1:9" s="20" customFormat="1" ht="12.75" x14ac:dyDescent="0.2">
      <c r="A61" s="63" t="s">
        <v>154</v>
      </c>
      <c r="B61" s="25"/>
      <c r="C61" s="25"/>
      <c r="E61" s="25"/>
      <c r="F61" s="25"/>
      <c r="I61" s="59"/>
    </row>
    <row r="62" spans="1:9" s="20" customFormat="1" ht="12.75" x14ac:dyDescent="0.2">
      <c r="A62" s="63"/>
      <c r="B62" s="25"/>
      <c r="C62" s="25"/>
      <c r="E62" s="25"/>
      <c r="F62" s="25"/>
      <c r="I62" s="59"/>
    </row>
    <row r="63" spans="1:9" ht="24" customHeight="1" x14ac:dyDescent="0.2">
      <c r="B63" s="46" t="s">
        <v>87</v>
      </c>
      <c r="C63" s="46" t="s">
        <v>88</v>
      </c>
      <c r="D63" s="2" t="s">
        <v>11</v>
      </c>
      <c r="E63" s="3" t="s">
        <v>78</v>
      </c>
      <c r="F63" s="3" t="s">
        <v>9</v>
      </c>
      <c r="G63" s="2" t="s">
        <v>21</v>
      </c>
      <c r="I63" s="57">
        <v>10</v>
      </c>
    </row>
    <row r="64" spans="1:9" ht="22.5" x14ac:dyDescent="0.2">
      <c r="B64" s="46" t="s">
        <v>171</v>
      </c>
      <c r="C64" s="46" t="s">
        <v>89</v>
      </c>
      <c r="D64" s="2" t="s">
        <v>12</v>
      </c>
      <c r="E64" s="3" t="s">
        <v>13</v>
      </c>
      <c r="F64" s="3" t="s">
        <v>8</v>
      </c>
      <c r="G64" s="2" t="s">
        <v>8</v>
      </c>
      <c r="I64" s="57">
        <v>10</v>
      </c>
    </row>
    <row r="65" spans="1:9" s="22" customFormat="1" ht="23.25" thickBot="1" x14ac:dyDescent="0.25">
      <c r="A65" s="21"/>
      <c r="B65" s="23" t="s">
        <v>14</v>
      </c>
      <c r="C65" s="23"/>
      <c r="E65" s="23" t="s">
        <v>77</v>
      </c>
      <c r="F65" s="23"/>
      <c r="I65" s="58">
        <v>10</v>
      </c>
    </row>
    <row r="67" spans="1:9" s="31" customFormat="1" ht="12.75" x14ac:dyDescent="0.2">
      <c r="A67" s="40" t="s">
        <v>152</v>
      </c>
      <c r="B67" s="46"/>
      <c r="C67" s="46"/>
      <c r="E67" s="32"/>
      <c r="F67" s="32"/>
      <c r="I67" s="57"/>
    </row>
    <row r="68" spans="1:9" s="31" customFormat="1" ht="22.5" x14ac:dyDescent="0.2">
      <c r="A68" s="69" t="s">
        <v>79</v>
      </c>
      <c r="B68" s="46" t="s">
        <v>96</v>
      </c>
      <c r="C68" s="46" t="s">
        <v>97</v>
      </c>
      <c r="D68" s="31" t="s">
        <v>11</v>
      </c>
      <c r="E68" s="32" t="s">
        <v>80</v>
      </c>
      <c r="F68" s="32" t="s">
        <v>9</v>
      </c>
      <c r="G68" s="31" t="s">
        <v>21</v>
      </c>
      <c r="I68" s="57" t="s">
        <v>151</v>
      </c>
    </row>
    <row r="69" spans="1:9" s="31" customFormat="1" ht="22.5" x14ac:dyDescent="0.2">
      <c r="A69" s="41" t="s">
        <v>81</v>
      </c>
      <c r="B69" s="46" t="s">
        <v>96</v>
      </c>
      <c r="C69" s="46" t="s">
        <v>98</v>
      </c>
      <c r="D69" s="31" t="s">
        <v>11</v>
      </c>
      <c r="E69" s="32" t="s">
        <v>146</v>
      </c>
      <c r="F69" s="32" t="s">
        <v>9</v>
      </c>
      <c r="G69" s="31" t="s">
        <v>21</v>
      </c>
      <c r="I69" s="57" t="s">
        <v>151</v>
      </c>
    </row>
    <row r="70" spans="1:9" s="31" customFormat="1" ht="168.75" x14ac:dyDescent="0.2">
      <c r="A70" s="54" t="s">
        <v>142</v>
      </c>
      <c r="B70" s="46" t="s">
        <v>90</v>
      </c>
      <c r="C70" s="46" t="s">
        <v>99</v>
      </c>
      <c r="D70" s="31" t="s">
        <v>11</v>
      </c>
      <c r="E70" s="32" t="s">
        <v>82</v>
      </c>
      <c r="F70" s="32" t="s">
        <v>8</v>
      </c>
      <c r="G70" s="31" t="s">
        <v>9</v>
      </c>
      <c r="H70" s="45" t="s">
        <v>9</v>
      </c>
      <c r="I70" s="57" t="s">
        <v>151</v>
      </c>
    </row>
    <row r="71" spans="1:9" s="31" customFormat="1" ht="112.5" x14ac:dyDescent="0.2">
      <c r="A71" s="54" t="s">
        <v>142</v>
      </c>
      <c r="B71" s="46" t="s">
        <v>96</v>
      </c>
      <c r="C71" s="46" t="s">
        <v>98</v>
      </c>
      <c r="D71" s="31" t="s">
        <v>11</v>
      </c>
      <c r="E71" s="32" t="s">
        <v>147</v>
      </c>
      <c r="F71" s="32" t="s">
        <v>9</v>
      </c>
      <c r="G71" s="31" t="s">
        <v>21</v>
      </c>
      <c r="I71" s="57" t="s">
        <v>151</v>
      </c>
    </row>
    <row r="72" spans="1:9" s="31" customFormat="1" ht="67.5" x14ac:dyDescent="0.2">
      <c r="A72" s="30" t="s">
        <v>143</v>
      </c>
      <c r="B72" s="46" t="s">
        <v>102</v>
      </c>
      <c r="C72" s="46" t="s">
        <v>100</v>
      </c>
      <c r="D72" s="31" t="s">
        <v>11</v>
      </c>
      <c r="E72" s="32" t="s">
        <v>148</v>
      </c>
      <c r="F72" s="32" t="s">
        <v>8</v>
      </c>
      <c r="G72" s="46" t="s">
        <v>136</v>
      </c>
      <c r="I72" s="57" t="s">
        <v>151</v>
      </c>
    </row>
    <row r="73" spans="1:9" s="45" customFormat="1" ht="45" x14ac:dyDescent="0.2">
      <c r="A73" s="44" t="s">
        <v>143</v>
      </c>
      <c r="B73" s="46" t="s">
        <v>137</v>
      </c>
      <c r="C73" s="46"/>
      <c r="D73" s="45" t="s">
        <v>11</v>
      </c>
      <c r="E73" s="46" t="s">
        <v>149</v>
      </c>
      <c r="F73" s="46" t="s">
        <v>135</v>
      </c>
      <c r="G73" s="45" t="s">
        <v>8</v>
      </c>
      <c r="H73" s="45" t="s">
        <v>8</v>
      </c>
      <c r="I73" s="57" t="s">
        <v>151</v>
      </c>
    </row>
    <row r="74" spans="1:9" s="31" customFormat="1" ht="33.75" x14ac:dyDescent="0.2">
      <c r="A74" s="30" t="s">
        <v>144</v>
      </c>
      <c r="B74" s="46" t="s">
        <v>90</v>
      </c>
      <c r="C74" s="46" t="s">
        <v>99</v>
      </c>
      <c r="D74" s="31" t="s">
        <v>11</v>
      </c>
      <c r="E74" s="32" t="s">
        <v>83</v>
      </c>
      <c r="F74" s="32" t="s">
        <v>9</v>
      </c>
      <c r="G74" s="31" t="s">
        <v>21</v>
      </c>
      <c r="H74" s="45" t="s">
        <v>9</v>
      </c>
      <c r="I74" s="57" t="s">
        <v>151</v>
      </c>
    </row>
    <row r="75" spans="1:9" s="31" customFormat="1" ht="33.75" x14ac:dyDescent="0.2">
      <c r="A75" s="30" t="s">
        <v>144</v>
      </c>
      <c r="B75" s="46" t="s">
        <v>96</v>
      </c>
      <c r="C75" s="46" t="s">
        <v>98</v>
      </c>
      <c r="D75" s="31" t="s">
        <v>11</v>
      </c>
      <c r="E75" s="33" t="s">
        <v>84</v>
      </c>
      <c r="F75" s="32" t="s">
        <v>9</v>
      </c>
      <c r="G75" s="31" t="s">
        <v>21</v>
      </c>
      <c r="I75" s="57" t="s">
        <v>151</v>
      </c>
    </row>
    <row r="76" spans="1:9" s="31" customFormat="1" ht="22.5" x14ac:dyDescent="0.2">
      <c r="A76" s="42" t="s">
        <v>145</v>
      </c>
      <c r="B76" s="46" t="s">
        <v>90</v>
      </c>
      <c r="C76" s="46" t="s">
        <v>100</v>
      </c>
      <c r="D76" s="31" t="s">
        <v>12</v>
      </c>
      <c r="E76" s="33" t="s">
        <v>85</v>
      </c>
      <c r="F76" s="32" t="s">
        <v>9</v>
      </c>
      <c r="G76" s="31" t="s">
        <v>21</v>
      </c>
      <c r="H76" s="45" t="s">
        <v>8</v>
      </c>
      <c r="I76" s="57" t="s">
        <v>151</v>
      </c>
    </row>
    <row r="77" spans="1:9" s="31" customFormat="1" ht="22.5" x14ac:dyDescent="0.2">
      <c r="A77" s="42" t="s">
        <v>145</v>
      </c>
      <c r="B77" s="46" t="s">
        <v>97</v>
      </c>
      <c r="C77" s="46" t="s">
        <v>98</v>
      </c>
      <c r="D77" s="31" t="s">
        <v>12</v>
      </c>
      <c r="E77" s="33" t="s">
        <v>85</v>
      </c>
      <c r="F77" s="32" t="s">
        <v>9</v>
      </c>
      <c r="G77" s="31" t="s">
        <v>21</v>
      </c>
      <c r="H77" s="45" t="s">
        <v>180</v>
      </c>
      <c r="I77" s="57" t="s">
        <v>151</v>
      </c>
    </row>
    <row r="78" spans="1:9" s="31" customFormat="1" ht="45" x14ac:dyDescent="0.2">
      <c r="A78" s="42">
        <v>19</v>
      </c>
      <c r="B78" s="46" t="s">
        <v>100</v>
      </c>
      <c r="C78" s="46" t="s">
        <v>150</v>
      </c>
      <c r="D78" s="31" t="s">
        <v>16</v>
      </c>
      <c r="E78" s="32" t="s">
        <v>86</v>
      </c>
      <c r="F78" s="32" t="s">
        <v>8</v>
      </c>
      <c r="G78" s="31" t="s">
        <v>9</v>
      </c>
      <c r="H78" s="45" t="s">
        <v>8</v>
      </c>
      <c r="I78" s="57" t="s">
        <v>151</v>
      </c>
    </row>
    <row r="79" spans="1:9" s="22" customFormat="1" ht="45.75" thickBot="1" x14ac:dyDescent="0.25">
      <c r="A79" s="21">
        <v>45</v>
      </c>
      <c r="B79" s="23" t="s">
        <v>90</v>
      </c>
      <c r="C79" s="87" t="s">
        <v>103</v>
      </c>
      <c r="D79" s="22" t="s">
        <v>16</v>
      </c>
      <c r="E79" s="23" t="s">
        <v>158</v>
      </c>
      <c r="F79" s="23" t="s">
        <v>8</v>
      </c>
      <c r="G79" s="22" t="s">
        <v>9</v>
      </c>
      <c r="I79" s="58" t="s">
        <v>151</v>
      </c>
    </row>
    <row r="81" spans="1:9" s="20" customFormat="1" ht="12.75" x14ac:dyDescent="0.2">
      <c r="A81" s="63" t="s">
        <v>153</v>
      </c>
      <c r="B81" s="25"/>
      <c r="C81" s="25"/>
      <c r="E81" s="25"/>
      <c r="F81" s="25"/>
      <c r="I81" s="59"/>
    </row>
    <row r="82" spans="1:9" s="20" customFormat="1" x14ac:dyDescent="0.2">
      <c r="A82" s="38"/>
      <c r="B82" s="25"/>
      <c r="C82" s="25"/>
      <c r="E82" s="25"/>
      <c r="F82" s="25"/>
      <c r="I82" s="59"/>
    </row>
    <row r="83" spans="1:9" ht="22.5" x14ac:dyDescent="0.2">
      <c r="B83" s="46" t="s">
        <v>193</v>
      </c>
      <c r="C83" s="46" t="s">
        <v>194</v>
      </c>
      <c r="D83" s="2" t="s">
        <v>12</v>
      </c>
      <c r="E83" s="3" t="s">
        <v>15</v>
      </c>
      <c r="F83" s="3" t="s">
        <v>9</v>
      </c>
      <c r="G83" s="2" t="s">
        <v>21</v>
      </c>
      <c r="I83" s="57" t="s">
        <v>76</v>
      </c>
    </row>
    <row r="84" spans="1:9" s="22" customFormat="1" ht="12" thickBot="1" x14ac:dyDescent="0.25">
      <c r="A84" s="21"/>
      <c r="B84" s="23"/>
      <c r="C84" s="23"/>
      <c r="E84" s="23"/>
      <c r="F84" s="23"/>
      <c r="I84" s="58"/>
    </row>
    <row r="85" spans="1:9" s="20" customFormat="1" x14ac:dyDescent="0.2">
      <c r="A85" s="24"/>
      <c r="B85" s="25"/>
      <c r="C85" s="25"/>
      <c r="E85" s="25"/>
      <c r="F85" s="25"/>
      <c r="I85" s="59"/>
    </row>
    <row r="86" spans="1:9" ht="12.75" x14ac:dyDescent="0.2">
      <c r="A86" s="63" t="s">
        <v>173</v>
      </c>
    </row>
    <row r="88" spans="1:9" ht="90" x14ac:dyDescent="0.2">
      <c r="A88" s="44" t="s">
        <v>164</v>
      </c>
      <c r="B88" s="49" t="s">
        <v>93</v>
      </c>
      <c r="C88" s="49" t="s">
        <v>176</v>
      </c>
      <c r="D88" s="45" t="s">
        <v>164</v>
      </c>
      <c r="E88" s="46" t="s">
        <v>175</v>
      </c>
      <c r="H88" s="45" t="s">
        <v>8</v>
      </c>
    </row>
    <row r="89" spans="1:9" ht="129.75" customHeight="1" x14ac:dyDescent="0.2">
      <c r="A89" s="44" t="s">
        <v>164</v>
      </c>
      <c r="B89" s="49" t="s">
        <v>93</v>
      </c>
      <c r="C89" s="46" t="s">
        <v>177</v>
      </c>
      <c r="D89" s="45" t="s">
        <v>164</v>
      </c>
      <c r="E89" s="46" t="s">
        <v>178</v>
      </c>
      <c r="H89" s="45" t="s">
        <v>8</v>
      </c>
    </row>
    <row r="90" spans="1:9" ht="157.5" x14ac:dyDescent="0.2">
      <c r="A90" s="44" t="s">
        <v>164</v>
      </c>
      <c r="B90" s="46" t="s">
        <v>174</v>
      </c>
      <c r="C90" s="46" t="s">
        <v>111</v>
      </c>
      <c r="D90" s="45" t="s">
        <v>164</v>
      </c>
      <c r="E90" s="46" t="s">
        <v>179</v>
      </c>
      <c r="H90" s="45" t="s">
        <v>8</v>
      </c>
    </row>
    <row r="91" spans="1:9" ht="45" x14ac:dyDescent="0.2">
      <c r="A91" s="44" t="s">
        <v>164</v>
      </c>
      <c r="B91" s="49" t="s">
        <v>126</v>
      </c>
      <c r="C91" s="49" t="s">
        <v>182</v>
      </c>
      <c r="D91" s="45" t="s">
        <v>164</v>
      </c>
      <c r="E91" s="46" t="s">
        <v>181</v>
      </c>
      <c r="H91" s="45" t="s">
        <v>9</v>
      </c>
    </row>
    <row r="854" spans="2:9" s="11" customFormat="1" x14ac:dyDescent="0.2">
      <c r="B854" s="53"/>
      <c r="C854" s="53"/>
      <c r="E854" s="12"/>
      <c r="F854" s="12"/>
      <c r="I854" s="60"/>
    </row>
    <row r="855" spans="2:9" s="11" customFormat="1" x14ac:dyDescent="0.2">
      <c r="B855" s="53"/>
      <c r="C855" s="53"/>
      <c r="E855" s="12"/>
      <c r="F855" s="12"/>
      <c r="I855" s="60"/>
    </row>
    <row r="856" spans="2:9" s="11" customFormat="1" x14ac:dyDescent="0.2">
      <c r="B856" s="53"/>
      <c r="C856" s="53"/>
      <c r="E856" s="12"/>
      <c r="F856" s="12"/>
      <c r="I856" s="60"/>
    </row>
    <row r="857" spans="2:9" s="11" customFormat="1" x14ac:dyDescent="0.2">
      <c r="B857" s="53"/>
      <c r="C857" s="53"/>
      <c r="E857" s="12"/>
      <c r="F857" s="12"/>
      <c r="I857" s="60"/>
    </row>
  </sheetData>
  <phoneticPr fontId="1" type="noConversion"/>
  <conditionalFormatting sqref="F1:G79 F81:G83 F86:G1048576">
    <cfRule type="containsText" dxfId="4" priority="9" operator="containsText" text="muut">
      <formula>NOT(ISERROR(SEARCH("muut",F1)))</formula>
    </cfRule>
    <cfRule type="containsText" dxfId="3" priority="10" operator="containsText" text="hyl">
      <formula>NOT(ISERROR(SEARCH("hyl",F1)))</formula>
    </cfRule>
    <cfRule type="containsText" dxfId="2" priority="11" operator="containsText" text="hyv">
      <formula>NOT(ISERROR(SEARCH("hyv",F1)))</formula>
    </cfRule>
  </conditionalFormatting>
  <conditionalFormatting sqref="H1:H1048576">
    <cfRule type="containsText" dxfId="1" priority="1" operator="containsText" text="hyl">
      <formula>NOT(ISERROR(SEARCH("hyl",H1)))</formula>
    </cfRule>
    <cfRule type="containsText" dxfId="0" priority="2" operator="containsText" text="hyv">
      <formula>NOT(ISERROR(SEARCH("hyv",H1)))</formula>
    </cfRule>
  </conditionalFormatting>
  <pageMargins left="0.15748031496062992" right="0.15748031496062992" top="0.15748031496062992" bottom="0.19685039370078741" header="0.51181102362204722" footer="0.51181102362204722"/>
  <pageSetup paperSize="9" firstPageNumber="0"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Kaikki</vt:lpstr>
      <vt:lpstr>(SKY)</vt:lpstr>
      <vt:lpstr>(ÅAS)</vt:lpstr>
      <vt:lpstr>(VYY)</vt:lpstr>
      <vt:lpstr>(TYY)</vt:lpstr>
      <vt:lpstr>(TeYO)</vt:lpstr>
      <vt:lpstr>(Tamy)</vt:lpstr>
      <vt:lpstr>(TTYY)</vt:lpstr>
      <vt:lpstr>(SHS)</vt:lpstr>
      <vt:lpstr>(SAY)</vt:lpstr>
      <vt:lpstr>(OYY)</vt:lpstr>
      <vt:lpstr>(LTKY)</vt:lpstr>
      <vt:lpstr>(LYY)</vt:lpstr>
      <vt:lpstr>(KUVYO)</vt:lpstr>
      <vt:lpstr>(JYY)</vt:lpstr>
      <vt:lpstr>(ISYY)</vt:lpstr>
      <vt:lpstr>(HYY)</vt:lpstr>
      <vt:lpstr>(AYY)</vt:lpstr>
      <vt:lpstr>MUUTOSESITYSEXCEL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Matti Parpala</dc:creator>
  <cp:lastModifiedBy>Juho Salmi</cp:lastModifiedBy>
  <cp:lastPrinted>2012-11-23T23:40:52Z</cp:lastPrinted>
  <dcterms:created xsi:type="dcterms:W3CDTF">2010-05-23T00:41:06Z</dcterms:created>
  <dcterms:modified xsi:type="dcterms:W3CDTF">2013-04-07T13:00:09Z</dcterms:modified>
</cp:coreProperties>
</file>