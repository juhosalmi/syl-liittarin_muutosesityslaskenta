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0" windowWidth="14955" windowHeight="7680" tabRatio="883"/>
  </bookViews>
  <sheets>
    <sheet name="Kaikki" sheetId="79" r:id="rId1"/>
    <sheet name="(SKY)" sheetId="278" r:id="rId2"/>
    <sheet name="(ÅAS)" sheetId="277" r:id="rId3"/>
    <sheet name="(VYY)" sheetId="276" r:id="rId4"/>
    <sheet name="(TYY)" sheetId="275" r:id="rId5"/>
    <sheet name="(TeYO)" sheetId="274" r:id="rId6"/>
    <sheet name="(Tamy)" sheetId="273" r:id="rId7"/>
    <sheet name="(TTYY)" sheetId="272" r:id="rId8"/>
    <sheet name="(SHS)" sheetId="271" r:id="rId9"/>
    <sheet name="(SAY)" sheetId="270" r:id="rId10"/>
    <sheet name="(OYY)" sheetId="269" r:id="rId11"/>
    <sheet name="(LTKY)" sheetId="268" r:id="rId12"/>
    <sheet name="(LYY)" sheetId="267" r:id="rId13"/>
    <sheet name="(KUVYO)" sheetId="266" r:id="rId14"/>
    <sheet name="(JYY)" sheetId="265" r:id="rId15"/>
    <sheet name="(ISYY)" sheetId="264" r:id="rId16"/>
    <sheet name="(HYY)" sheetId="263" r:id="rId17"/>
    <sheet name="(AYY)" sheetId="262" r:id="rId18"/>
    <sheet name="MUUTOSESITYSEXCEL" sheetId="1" r:id="rId19"/>
  </sheets>
  <functionGroups builtInGroupCount="17"/>
  <calcPr calcId="144525"/>
</workbook>
</file>

<file path=xl/calcChain.xml><?xml version="1.0" encoding="utf-8"?>
<calcChain xmlns="http://schemas.openxmlformats.org/spreadsheetml/2006/main">
  <c r="O8" i="278" l="1"/>
  <c r="O7" i="278"/>
  <c r="O3" i="278"/>
  <c r="O2" i="278"/>
  <c r="M8" i="278"/>
  <c r="M7" i="278"/>
  <c r="M3" i="278"/>
  <c r="M2" i="278"/>
  <c r="K8" i="278"/>
  <c r="K7" i="278"/>
  <c r="K3" i="278"/>
  <c r="K2" i="278"/>
  <c r="I8" i="278"/>
  <c r="I7" i="278"/>
  <c r="I3" i="278"/>
  <c r="I2" i="278"/>
  <c r="G8" i="278"/>
  <c r="G7" i="278"/>
  <c r="G3" i="278"/>
  <c r="G2" i="278"/>
  <c r="E8" i="278"/>
  <c r="E7" i="278"/>
  <c r="E3" i="278"/>
  <c r="E2" i="278"/>
  <c r="C8" i="278"/>
  <c r="C7" i="278"/>
  <c r="C3" i="278"/>
  <c r="C2" i="278"/>
  <c r="B10" i="278"/>
  <c r="D10" i="278"/>
  <c r="F10" i="278"/>
  <c r="H10" i="278"/>
  <c r="J10" i="278"/>
  <c r="L10" i="278"/>
  <c r="N7" i="278"/>
  <c r="N8" i="278"/>
  <c r="N9" i="278"/>
  <c r="B5" i="278"/>
  <c r="D5" i="278"/>
  <c r="F5" i="278"/>
  <c r="H5" i="278"/>
  <c r="J5" i="278"/>
  <c r="L5" i="278"/>
  <c r="N2" i="278"/>
  <c r="N3" i="278"/>
  <c r="N4" i="278"/>
  <c r="O8" i="277"/>
  <c r="O7" i="277"/>
  <c r="O3" i="277"/>
  <c r="O2" i="277"/>
  <c r="M8" i="277"/>
  <c r="M7" i="277"/>
  <c r="M3" i="277"/>
  <c r="M2" i="277"/>
  <c r="K8" i="277"/>
  <c r="K7" i="277"/>
  <c r="K3" i="277"/>
  <c r="K2" i="277"/>
  <c r="I8" i="277"/>
  <c r="I7" i="277"/>
  <c r="I3" i="277"/>
  <c r="I2" i="277"/>
  <c r="G8" i="277"/>
  <c r="G7" i="277"/>
  <c r="G3" i="277"/>
  <c r="G2" i="277"/>
  <c r="E8" i="277"/>
  <c r="E7" i="277"/>
  <c r="E3" i="277"/>
  <c r="E2" i="277"/>
  <c r="C8" i="277"/>
  <c r="C7" i="277"/>
  <c r="C3" i="277"/>
  <c r="C2" i="277"/>
  <c r="B10" i="277"/>
  <c r="D10" i="277"/>
  <c r="F10" i="277"/>
  <c r="H10" i="277"/>
  <c r="J10" i="277"/>
  <c r="L10" i="277"/>
  <c r="N7" i="277"/>
  <c r="N8" i="277"/>
  <c r="N9" i="277"/>
  <c r="B5" i="277"/>
  <c r="D5" i="277"/>
  <c r="F5" i="277"/>
  <c r="H5" i="277"/>
  <c r="J5" i="277"/>
  <c r="L5" i="277"/>
  <c r="N2" i="277"/>
  <c r="N3" i="277"/>
  <c r="N4" i="277"/>
  <c r="O8" i="276"/>
  <c r="O7" i="276"/>
  <c r="O3" i="276"/>
  <c r="O2" i="276"/>
  <c r="M8" i="276"/>
  <c r="M7" i="276"/>
  <c r="M3" i="276"/>
  <c r="M2" i="276"/>
  <c r="K8" i="276"/>
  <c r="K7" i="276"/>
  <c r="K3" i="276"/>
  <c r="K2" i="276"/>
  <c r="I8" i="276"/>
  <c r="I7" i="276"/>
  <c r="I3" i="276"/>
  <c r="I2" i="276"/>
  <c r="G8" i="276"/>
  <c r="G7" i="276"/>
  <c r="G3" i="276"/>
  <c r="G2" i="276"/>
  <c r="E8" i="276"/>
  <c r="E7" i="276"/>
  <c r="E3" i="276"/>
  <c r="E2" i="276"/>
  <c r="C8" i="276"/>
  <c r="C7" i="276"/>
  <c r="C3" i="276"/>
  <c r="C2" i="276"/>
  <c r="B10" i="276"/>
  <c r="D10" i="276"/>
  <c r="F10" i="276"/>
  <c r="H10" i="276"/>
  <c r="J10" i="276"/>
  <c r="L10" i="276"/>
  <c r="N7" i="276"/>
  <c r="N8" i="276"/>
  <c r="N9" i="276"/>
  <c r="B5" i="276"/>
  <c r="D5" i="276"/>
  <c r="F5" i="276"/>
  <c r="H5" i="276"/>
  <c r="J5" i="276"/>
  <c r="L5" i="276"/>
  <c r="N2" i="276"/>
  <c r="N3" i="276"/>
  <c r="N4" i="276"/>
  <c r="O8" i="275"/>
  <c r="O7" i="275"/>
  <c r="O3" i="275"/>
  <c r="O2" i="275"/>
  <c r="M8" i="275"/>
  <c r="M7" i="275"/>
  <c r="M3" i="275"/>
  <c r="M2" i="275"/>
  <c r="K8" i="275"/>
  <c r="K7" i="275"/>
  <c r="K3" i="275"/>
  <c r="K2" i="275"/>
  <c r="I8" i="275"/>
  <c r="I7" i="275"/>
  <c r="I3" i="275"/>
  <c r="I2" i="275"/>
  <c r="G8" i="275"/>
  <c r="G7" i="275"/>
  <c r="G3" i="275"/>
  <c r="G2" i="275"/>
  <c r="E8" i="275"/>
  <c r="E7" i="275"/>
  <c r="E3" i="275"/>
  <c r="E2" i="275"/>
  <c r="C8" i="275"/>
  <c r="C7" i="275"/>
  <c r="C3" i="275"/>
  <c r="C2" i="275"/>
  <c r="B10" i="275"/>
  <c r="D10" i="275"/>
  <c r="F10" i="275"/>
  <c r="H10" i="275"/>
  <c r="J10" i="275"/>
  <c r="L10" i="275"/>
  <c r="N7" i="275"/>
  <c r="N8" i="275"/>
  <c r="N9" i="275"/>
  <c r="B5" i="275"/>
  <c r="D5" i="275"/>
  <c r="F5" i="275"/>
  <c r="H5" i="275"/>
  <c r="J5" i="275"/>
  <c r="L5" i="275"/>
  <c r="N2" i="275"/>
  <c r="N3" i="275"/>
  <c r="N4" i="275"/>
  <c r="O8" i="274"/>
  <c r="O7" i="274"/>
  <c r="O3" i="274"/>
  <c r="O2" i="274"/>
  <c r="M8" i="274"/>
  <c r="M7" i="274"/>
  <c r="M3" i="274"/>
  <c r="M2" i="274"/>
  <c r="K8" i="274"/>
  <c r="K7" i="274"/>
  <c r="K3" i="274"/>
  <c r="K2" i="274"/>
  <c r="I8" i="274"/>
  <c r="I7" i="274"/>
  <c r="I3" i="274"/>
  <c r="I2" i="274"/>
  <c r="G8" i="274"/>
  <c r="G7" i="274"/>
  <c r="G3" i="274"/>
  <c r="G2" i="274"/>
  <c r="E8" i="274"/>
  <c r="E7" i="274"/>
  <c r="E3" i="274"/>
  <c r="E2" i="274"/>
  <c r="C8" i="274"/>
  <c r="C7" i="274"/>
  <c r="C3" i="274"/>
  <c r="C2" i="274"/>
  <c r="B10" i="274"/>
  <c r="D10" i="274"/>
  <c r="F10" i="274"/>
  <c r="H10" i="274"/>
  <c r="J10" i="274"/>
  <c r="L10" i="274"/>
  <c r="N7" i="274"/>
  <c r="N8" i="274"/>
  <c r="N9" i="274"/>
  <c r="B5" i="274"/>
  <c r="D5" i="274"/>
  <c r="F5" i="274"/>
  <c r="H5" i="274"/>
  <c r="J5" i="274"/>
  <c r="L5" i="274"/>
  <c r="N2" i="274"/>
  <c r="N3" i="274"/>
  <c r="N4" i="274"/>
  <c r="O8" i="273"/>
  <c r="O7" i="273"/>
  <c r="O3" i="273"/>
  <c r="O2" i="273"/>
  <c r="M8" i="273"/>
  <c r="M7" i="273"/>
  <c r="M3" i="273"/>
  <c r="M2" i="273"/>
  <c r="K8" i="273"/>
  <c r="K7" i="273"/>
  <c r="K3" i="273"/>
  <c r="K2" i="273"/>
  <c r="I8" i="273"/>
  <c r="I7" i="273"/>
  <c r="I3" i="273"/>
  <c r="I2" i="273"/>
  <c r="G8" i="273"/>
  <c r="G7" i="273"/>
  <c r="G3" i="273"/>
  <c r="G2" i="273"/>
  <c r="E8" i="273"/>
  <c r="E7" i="273"/>
  <c r="E3" i="273"/>
  <c r="E2" i="273"/>
  <c r="C8" i="273"/>
  <c r="C7" i="273"/>
  <c r="C3" i="273"/>
  <c r="C2" i="273"/>
  <c r="B10" i="273"/>
  <c r="D10" i="273"/>
  <c r="F10" i="273"/>
  <c r="H10" i="273"/>
  <c r="J10" i="273"/>
  <c r="L10" i="273"/>
  <c r="N7" i="273"/>
  <c r="N8" i="273"/>
  <c r="N9" i="273"/>
  <c r="B5" i="273"/>
  <c r="D5" i="273"/>
  <c r="F5" i="273"/>
  <c r="H5" i="273"/>
  <c r="J5" i="273"/>
  <c r="L5" i="273"/>
  <c r="N2" i="273"/>
  <c r="N3" i="273"/>
  <c r="N4" i="273"/>
  <c r="O8" i="272"/>
  <c r="O7" i="272"/>
  <c r="O3" i="272"/>
  <c r="O2" i="272"/>
  <c r="M8" i="272"/>
  <c r="M7" i="272"/>
  <c r="M3" i="272"/>
  <c r="M2" i="272"/>
  <c r="K8" i="272"/>
  <c r="K7" i="272"/>
  <c r="K3" i="272"/>
  <c r="K2" i="272"/>
  <c r="I8" i="272"/>
  <c r="I7" i="272"/>
  <c r="I3" i="272"/>
  <c r="I2" i="272"/>
  <c r="G8" i="272"/>
  <c r="G7" i="272"/>
  <c r="G3" i="272"/>
  <c r="G2" i="272"/>
  <c r="E8" i="272"/>
  <c r="E7" i="272"/>
  <c r="E3" i="272"/>
  <c r="E2" i="272"/>
  <c r="C8" i="272"/>
  <c r="C7" i="272"/>
  <c r="C3" i="272"/>
  <c r="C2" i="272"/>
  <c r="B10" i="272"/>
  <c r="D10" i="272"/>
  <c r="F10" i="272"/>
  <c r="H10" i="272"/>
  <c r="J10" i="272"/>
  <c r="L10" i="272"/>
  <c r="N7" i="272"/>
  <c r="N8" i="272"/>
  <c r="N9" i="272"/>
  <c r="B5" i="272"/>
  <c r="D5" i="272"/>
  <c r="F5" i="272"/>
  <c r="H5" i="272"/>
  <c r="J5" i="272"/>
  <c r="L5" i="272"/>
  <c r="N2" i="272"/>
  <c r="N3" i="272"/>
  <c r="N4" i="272"/>
  <c r="O8" i="271"/>
  <c r="O7" i="271"/>
  <c r="O3" i="271"/>
  <c r="O2" i="271"/>
  <c r="M8" i="271"/>
  <c r="M7" i="271"/>
  <c r="M3" i="271"/>
  <c r="M2" i="271"/>
  <c r="K8" i="271"/>
  <c r="K7" i="271"/>
  <c r="K3" i="271"/>
  <c r="K2" i="271"/>
  <c r="I8" i="271"/>
  <c r="I7" i="271"/>
  <c r="I3" i="271"/>
  <c r="I2" i="271"/>
  <c r="G8" i="271"/>
  <c r="G7" i="271"/>
  <c r="G3" i="271"/>
  <c r="G2" i="271"/>
  <c r="E8" i="271"/>
  <c r="E7" i="271"/>
  <c r="E3" i="271"/>
  <c r="E2" i="271"/>
  <c r="C8" i="271"/>
  <c r="C7" i="271"/>
  <c r="C3" i="271"/>
  <c r="C2" i="271"/>
  <c r="B10" i="271"/>
  <c r="D10" i="271"/>
  <c r="F10" i="271"/>
  <c r="H10" i="271"/>
  <c r="J10" i="271"/>
  <c r="L10" i="271"/>
  <c r="N7" i="271"/>
  <c r="N8" i="271"/>
  <c r="N9" i="271"/>
  <c r="B5" i="271"/>
  <c r="D5" i="271"/>
  <c r="F5" i="271"/>
  <c r="H5" i="271"/>
  <c r="J5" i="271"/>
  <c r="L5" i="271"/>
  <c r="N2" i="271"/>
  <c r="N3" i="271"/>
  <c r="N4" i="271"/>
  <c r="O8" i="270"/>
  <c r="O7" i="270"/>
  <c r="O3" i="270"/>
  <c r="O2" i="270"/>
  <c r="M8" i="270"/>
  <c r="M7" i="270"/>
  <c r="M3" i="270"/>
  <c r="M2" i="270"/>
  <c r="K8" i="270"/>
  <c r="K7" i="270"/>
  <c r="K3" i="270"/>
  <c r="K2" i="270"/>
  <c r="I8" i="270"/>
  <c r="I7" i="270"/>
  <c r="I3" i="270"/>
  <c r="I2" i="270"/>
  <c r="G8" i="270"/>
  <c r="G7" i="270"/>
  <c r="G3" i="270"/>
  <c r="G2" i="270"/>
  <c r="E8" i="270"/>
  <c r="E7" i="270"/>
  <c r="E3" i="270"/>
  <c r="E2" i="270"/>
  <c r="C8" i="270"/>
  <c r="C7" i="270"/>
  <c r="C3" i="270"/>
  <c r="C2" i="270"/>
  <c r="B10" i="270"/>
  <c r="D10" i="270"/>
  <c r="F10" i="270"/>
  <c r="H10" i="270"/>
  <c r="J10" i="270"/>
  <c r="L10" i="270"/>
  <c r="N7" i="270"/>
  <c r="N8" i="270"/>
  <c r="N9" i="270"/>
  <c r="B5" i="270"/>
  <c r="D5" i="270"/>
  <c r="F5" i="270"/>
  <c r="H5" i="270"/>
  <c r="J5" i="270"/>
  <c r="L5" i="270"/>
  <c r="N2" i="270"/>
  <c r="N3" i="270"/>
  <c r="N4" i="270"/>
  <c r="O8" i="269"/>
  <c r="O7" i="269"/>
  <c r="O3" i="269"/>
  <c r="O2" i="269"/>
  <c r="M8" i="269"/>
  <c r="M7" i="269"/>
  <c r="M3" i="269"/>
  <c r="M2" i="269"/>
  <c r="K8" i="269"/>
  <c r="K7" i="269"/>
  <c r="K3" i="269"/>
  <c r="K2" i="269"/>
  <c r="I8" i="269"/>
  <c r="I7" i="269"/>
  <c r="I3" i="269"/>
  <c r="I2" i="269"/>
  <c r="G8" i="269"/>
  <c r="G7" i="269"/>
  <c r="G3" i="269"/>
  <c r="G2" i="269"/>
  <c r="E8" i="269"/>
  <c r="E7" i="269"/>
  <c r="E3" i="269"/>
  <c r="E2" i="269"/>
  <c r="C8" i="269"/>
  <c r="C7" i="269"/>
  <c r="C3" i="269"/>
  <c r="C2" i="269"/>
  <c r="B10" i="269"/>
  <c r="D10" i="269"/>
  <c r="F10" i="269"/>
  <c r="H10" i="269"/>
  <c r="J10" i="269"/>
  <c r="L10" i="269"/>
  <c r="N7" i="269"/>
  <c r="N8" i="269"/>
  <c r="N9" i="269"/>
  <c r="B5" i="269"/>
  <c r="D5" i="269"/>
  <c r="F5" i="269"/>
  <c r="H5" i="269"/>
  <c r="J5" i="269"/>
  <c r="L5" i="269"/>
  <c r="N2" i="269"/>
  <c r="N3" i="269"/>
  <c r="N4" i="269"/>
  <c r="O8" i="268"/>
  <c r="O7" i="268"/>
  <c r="O3" i="268"/>
  <c r="O2" i="268"/>
  <c r="M8" i="268"/>
  <c r="M7" i="268"/>
  <c r="M3" i="268"/>
  <c r="M2" i="268"/>
  <c r="K8" i="268"/>
  <c r="K7" i="268"/>
  <c r="K3" i="268"/>
  <c r="K2" i="268"/>
  <c r="I8" i="268"/>
  <c r="I7" i="268"/>
  <c r="I3" i="268"/>
  <c r="I2" i="268"/>
  <c r="G8" i="268"/>
  <c r="G7" i="268"/>
  <c r="G3" i="268"/>
  <c r="G2" i="268"/>
  <c r="E8" i="268"/>
  <c r="E7" i="268"/>
  <c r="E3" i="268"/>
  <c r="E2" i="268"/>
  <c r="C8" i="268"/>
  <c r="C7" i="268"/>
  <c r="C3" i="268"/>
  <c r="C2" i="268"/>
  <c r="B10" i="268"/>
  <c r="D10" i="268"/>
  <c r="F10" i="268"/>
  <c r="H10" i="268"/>
  <c r="J10" i="268"/>
  <c r="L10" i="268"/>
  <c r="N7" i="268"/>
  <c r="N8" i="268"/>
  <c r="N9" i="268"/>
  <c r="B5" i="268"/>
  <c r="D5" i="268"/>
  <c r="F5" i="268"/>
  <c r="H5" i="268"/>
  <c r="J5" i="268"/>
  <c r="L5" i="268"/>
  <c r="N2" i="268"/>
  <c r="N3" i="268"/>
  <c r="N4" i="268"/>
  <c r="O8" i="267"/>
  <c r="O7" i="267"/>
  <c r="O3" i="267"/>
  <c r="O2" i="267"/>
  <c r="M8" i="267"/>
  <c r="M7" i="267"/>
  <c r="M3" i="267"/>
  <c r="M2" i="267"/>
  <c r="K8" i="267"/>
  <c r="K7" i="267"/>
  <c r="K3" i="267"/>
  <c r="K2" i="267"/>
  <c r="I8" i="267"/>
  <c r="I7" i="267"/>
  <c r="I3" i="267"/>
  <c r="I2" i="267"/>
  <c r="G8" i="267"/>
  <c r="G7" i="267"/>
  <c r="G3" i="267"/>
  <c r="G2" i="267"/>
  <c r="E8" i="267"/>
  <c r="E7" i="267"/>
  <c r="E3" i="267"/>
  <c r="E2" i="267"/>
  <c r="C8" i="267"/>
  <c r="C7" i="267"/>
  <c r="C3" i="267"/>
  <c r="C2" i="267"/>
  <c r="B10" i="267"/>
  <c r="D10" i="267"/>
  <c r="F10" i="267"/>
  <c r="H10" i="267"/>
  <c r="J10" i="267"/>
  <c r="L10" i="267"/>
  <c r="N7" i="267"/>
  <c r="N8" i="267"/>
  <c r="N9" i="267"/>
  <c r="B5" i="267"/>
  <c r="D5" i="267"/>
  <c r="F5" i="267"/>
  <c r="H5" i="267"/>
  <c r="J5" i="267"/>
  <c r="L5" i="267"/>
  <c r="N2" i="267"/>
  <c r="N3" i="267"/>
  <c r="N4" i="267"/>
  <c r="O8" i="266"/>
  <c r="O7" i="266"/>
  <c r="O3" i="266"/>
  <c r="O2" i="266"/>
  <c r="M8" i="266"/>
  <c r="M7" i="266"/>
  <c r="M3" i="266"/>
  <c r="M2" i="266"/>
  <c r="K8" i="266"/>
  <c r="K7" i="266"/>
  <c r="K3" i="266"/>
  <c r="K2" i="266"/>
  <c r="I8" i="266"/>
  <c r="I7" i="266"/>
  <c r="I3" i="266"/>
  <c r="I2" i="266"/>
  <c r="G8" i="266"/>
  <c r="G7" i="266"/>
  <c r="G3" i="266"/>
  <c r="G2" i="266"/>
  <c r="E8" i="266"/>
  <c r="E7" i="266"/>
  <c r="E3" i="266"/>
  <c r="E2" i="266"/>
  <c r="C8" i="266"/>
  <c r="C7" i="266"/>
  <c r="C3" i="266"/>
  <c r="C2" i="266"/>
  <c r="B10" i="266"/>
  <c r="D10" i="266"/>
  <c r="F10" i="266"/>
  <c r="H10" i="266"/>
  <c r="J10" i="266"/>
  <c r="L10" i="266"/>
  <c r="N7" i="266"/>
  <c r="N8" i="266"/>
  <c r="N9" i="266"/>
  <c r="B5" i="266"/>
  <c r="D5" i="266"/>
  <c r="F5" i="266"/>
  <c r="H5" i="266"/>
  <c r="J5" i="266"/>
  <c r="L5" i="266"/>
  <c r="N2" i="266"/>
  <c r="N3" i="266"/>
  <c r="N4" i="266"/>
  <c r="O8" i="265"/>
  <c r="O7" i="265"/>
  <c r="O3" i="265"/>
  <c r="O2" i="265"/>
  <c r="M8" i="265"/>
  <c r="M7" i="265"/>
  <c r="M3" i="265"/>
  <c r="M2" i="265"/>
  <c r="K8" i="265"/>
  <c r="K7" i="265"/>
  <c r="K3" i="265"/>
  <c r="K2" i="265"/>
  <c r="I8" i="265"/>
  <c r="I7" i="265"/>
  <c r="I3" i="265"/>
  <c r="I2" i="265"/>
  <c r="G8" i="265"/>
  <c r="G7" i="265"/>
  <c r="G3" i="265"/>
  <c r="G2" i="265"/>
  <c r="E8" i="265"/>
  <c r="E7" i="265"/>
  <c r="E3" i="265"/>
  <c r="E2" i="265"/>
  <c r="C8" i="265"/>
  <c r="C7" i="265"/>
  <c r="C3" i="265"/>
  <c r="C2" i="265"/>
  <c r="B10" i="265"/>
  <c r="D10" i="265"/>
  <c r="F10" i="265"/>
  <c r="H10" i="265"/>
  <c r="J10" i="265"/>
  <c r="L10" i="265"/>
  <c r="N7" i="265"/>
  <c r="N8" i="265"/>
  <c r="N9" i="265"/>
  <c r="B5" i="265"/>
  <c r="D5" i="265"/>
  <c r="F5" i="265"/>
  <c r="H5" i="265"/>
  <c r="J5" i="265"/>
  <c r="L5" i="265"/>
  <c r="N2" i="265"/>
  <c r="N3" i="265"/>
  <c r="N4" i="265"/>
  <c r="O8" i="264"/>
  <c r="O7" i="264"/>
  <c r="O3" i="264"/>
  <c r="O2" i="264"/>
  <c r="M8" i="264"/>
  <c r="M7" i="264"/>
  <c r="M3" i="264"/>
  <c r="M2" i="264"/>
  <c r="K8" i="264"/>
  <c r="K7" i="264"/>
  <c r="K3" i="264"/>
  <c r="K2" i="264"/>
  <c r="I8" i="264"/>
  <c r="I7" i="264"/>
  <c r="I3" i="264"/>
  <c r="I2" i="264"/>
  <c r="G8" i="264"/>
  <c r="G7" i="264"/>
  <c r="G3" i="264"/>
  <c r="G2" i="264"/>
  <c r="E8" i="264"/>
  <c r="E7" i="264"/>
  <c r="E3" i="264"/>
  <c r="E2" i="264"/>
  <c r="C8" i="264"/>
  <c r="C7" i="264"/>
  <c r="C3" i="264"/>
  <c r="C2" i="264"/>
  <c r="B10" i="264"/>
  <c r="D10" i="264"/>
  <c r="F10" i="264"/>
  <c r="H10" i="264"/>
  <c r="J10" i="264"/>
  <c r="L10" i="264"/>
  <c r="N7" i="264"/>
  <c r="N8" i="264"/>
  <c r="N9" i="264"/>
  <c r="B5" i="264"/>
  <c r="D5" i="264"/>
  <c r="F5" i="264"/>
  <c r="H5" i="264"/>
  <c r="J5" i="264"/>
  <c r="L5" i="264"/>
  <c r="N2" i="264"/>
  <c r="N3" i="264"/>
  <c r="N4" i="264"/>
  <c r="O8" i="263"/>
  <c r="O7" i="263"/>
  <c r="O3" i="263"/>
  <c r="O2" i="263"/>
  <c r="M8" i="263"/>
  <c r="M7" i="263"/>
  <c r="M3" i="263"/>
  <c r="M2" i="263"/>
  <c r="K8" i="263"/>
  <c r="K7" i="263"/>
  <c r="K3" i="263"/>
  <c r="K2" i="263"/>
  <c r="I8" i="263"/>
  <c r="I7" i="263"/>
  <c r="I3" i="263"/>
  <c r="I2" i="263"/>
  <c r="G8" i="263"/>
  <c r="G7" i="263"/>
  <c r="G3" i="263"/>
  <c r="G2" i="263"/>
  <c r="E8" i="263"/>
  <c r="E7" i="263"/>
  <c r="E3" i="263"/>
  <c r="E2" i="263"/>
  <c r="C8" i="263"/>
  <c r="C7" i="263"/>
  <c r="C3" i="263"/>
  <c r="C2" i="263"/>
  <c r="B10" i="263"/>
  <c r="D10" i="263"/>
  <c r="F10" i="263"/>
  <c r="H10" i="263"/>
  <c r="J10" i="263"/>
  <c r="L10" i="263"/>
  <c r="N7" i="263"/>
  <c r="N8" i="263"/>
  <c r="N9" i="263"/>
  <c r="B5" i="263"/>
  <c r="D5" i="263"/>
  <c r="F5" i="263"/>
  <c r="H5" i="263"/>
  <c r="J5" i="263"/>
  <c r="L5" i="263"/>
  <c r="N2" i="263"/>
  <c r="N3" i="263"/>
  <c r="N4" i="263"/>
  <c r="O8" i="262"/>
  <c r="O7" i="262"/>
  <c r="O3" i="262"/>
  <c r="O2" i="262"/>
  <c r="M8" i="262"/>
  <c r="M7" i="262"/>
  <c r="M3" i="262"/>
  <c r="M2" i="262"/>
  <c r="K8" i="262"/>
  <c r="K7" i="262"/>
  <c r="K3" i="262"/>
  <c r="K2" i="262"/>
  <c r="I8" i="262"/>
  <c r="I7" i="262"/>
  <c r="I3" i="262"/>
  <c r="I2" i="262"/>
  <c r="G8" i="262"/>
  <c r="G7" i="262"/>
  <c r="G3" i="262"/>
  <c r="G2" i="262"/>
  <c r="E8" i="262"/>
  <c r="E7" i="262"/>
  <c r="E3" i="262"/>
  <c r="E2" i="262"/>
  <c r="C8" i="262"/>
  <c r="C7" i="262"/>
  <c r="C3" i="262"/>
  <c r="C2" i="262"/>
  <c r="B10" i="262"/>
  <c r="D10" i="262"/>
  <c r="F10" i="262"/>
  <c r="H10" i="262"/>
  <c r="J10" i="262"/>
  <c r="L10" i="262"/>
  <c r="N7" i="262"/>
  <c r="N8" i="262"/>
  <c r="N9" i="262"/>
  <c r="B5" i="262"/>
  <c r="D5" i="262"/>
  <c r="F5" i="262"/>
  <c r="H5" i="262"/>
  <c r="J5" i="262"/>
  <c r="L5" i="262"/>
  <c r="N2" i="262"/>
  <c r="N3" i="262"/>
  <c r="N4" i="262"/>
  <c r="N10" i="278" l="1"/>
  <c r="N5" i="278"/>
  <c r="N10" i="277"/>
  <c r="N5" i="277"/>
  <c r="N10" i="276"/>
  <c r="N5" i="276"/>
  <c r="N10" i="275"/>
  <c r="N5" i="275"/>
  <c r="N10" i="274"/>
  <c r="N5" i="274"/>
  <c r="N10" i="273"/>
  <c r="N5" i="273"/>
  <c r="N10" i="272"/>
  <c r="N5" i="272"/>
  <c r="N10" i="271"/>
  <c r="N5" i="271"/>
  <c r="N10" i="270"/>
  <c r="N5" i="270"/>
  <c r="N10" i="269"/>
  <c r="N5" i="269"/>
  <c r="N10" i="268"/>
  <c r="N5" i="268"/>
  <c r="N10" i="267"/>
  <c r="N5" i="267"/>
  <c r="N10" i="266"/>
  <c r="N5" i="266"/>
  <c r="N10" i="265"/>
  <c r="N5" i="265"/>
  <c r="N10" i="264"/>
  <c r="N5" i="264"/>
  <c r="N10" i="263"/>
  <c r="N5" i="263"/>
  <c r="N10" i="262"/>
  <c r="N5" i="262"/>
  <c r="B5" i="79" l="1"/>
  <c r="C5" i="79"/>
  <c r="D5" i="79"/>
  <c r="E5" i="79"/>
  <c r="F5" i="79"/>
  <c r="G5" i="79"/>
  <c r="H2" i="79"/>
  <c r="H3" i="79"/>
  <c r="H4" i="79"/>
  <c r="H5" i="79" l="1"/>
</calcChain>
</file>

<file path=xl/sharedStrings.xml><?xml version="1.0" encoding="utf-8"?>
<sst xmlns="http://schemas.openxmlformats.org/spreadsheetml/2006/main" count="892" uniqueCount="218">
  <si>
    <t>RIVI</t>
  </si>
  <si>
    <t>MITÄ</t>
  </si>
  <si>
    <t>ESITYS</t>
  </si>
  <si>
    <t>ESITTÄÄ</t>
  </si>
  <si>
    <t>KANNATTAA</t>
  </si>
  <si>
    <t>TR</t>
  </si>
  <si>
    <t>HALLITUS</t>
  </si>
  <si>
    <t>LIKO</t>
  </si>
  <si>
    <t>hyv</t>
  </si>
  <si>
    <t>hyl</t>
  </si>
  <si>
    <t>ASIAKIRJAN NUMERO</t>
  </si>
  <si>
    <t>muutos</t>
  </si>
  <si>
    <t>poisto</t>
  </si>
  <si>
    <t>poistetaan 300 euron katto sekä yleisperusteluista että yksityiskohtaisista perusteluista</t>
  </si>
  <si>
    <t>stilistinen korjaus</t>
  </si>
  <si>
    <t>hylätään koko kannanotto</t>
  </si>
  <si>
    <t>lisäys</t>
  </si>
  <si>
    <t>Korvataan riviltä 22 alkava virke ”Erityistoimia kohdennetaan...”
virkkeellä ”Opiskelijavalinta tehdään sosioekonomisesta taustasta riippumattomaksi.”.</t>
  </si>
  <si>
    <t xml:space="preserve">Lisätään sana "erityisesti" sanojen "kehitetään" ja "opiskelijalapsiperheiden” väliin. </t>
  </si>
  <si>
    <t>Muutetaan kohta ”YTHS-kokeilu vakinaistetaan” muotoon ”YTHS-kokeilu vakinaistetaan AMK-uudistuksen edetessä."</t>
  </si>
  <si>
    <r>
      <rPr>
        <i/>
        <sz val="8"/>
        <rFont val="Arial"/>
        <family val="2"/>
      </rPr>
      <t>Uudeksi kohdaksi muiden jälkeen:</t>
    </r>
    <r>
      <rPr>
        <sz val="8"/>
        <rFont val="Arial"/>
        <family val="2"/>
      </rPr>
      <t xml:space="preserve"> Korkeakouluista käytävän kansainvälistymiskeskustelun rinnalle nostetaan laajempi keskustelu suomalaisen yhteiskunnan kansainvälistymisestä ja kansainvälisten tutkinto-opiskelijoiden roolista tässä kehityksessä. Parannusta vaaditaan muun muassa oleskelulupa- ja maahanmuuttokäytäntöihin sekä kansainvälisten tutkinto-opiskelijoiden työllistymisen edellytyksiin.</t>
    </r>
  </si>
  <si>
    <t>ei käs</t>
  </si>
  <si>
    <t>Muutos</t>
  </si>
  <si>
    <t>Muutetaan ”työssäkäyntiin liittyvä problematiikka” muotoon ”erilaiset elämäntilanteet”</t>
  </si>
  <si>
    <t xml:space="preserve">”Tavoitteena on nykyistä joustavampi sekä vähemmän byrokraattinen malli, joka kohtelee kaikkia yhdenvertaisesti ja ehkäisee kannustinloukkuja.” </t>
  </si>
  <si>
    <t>Poisto</t>
  </si>
  <si>
    <t>Poistetaan sana ”tarvittaessa”</t>
  </si>
  <si>
    <t>85-87</t>
  </si>
  <si>
    <t>Muutetaan sana ”syrjäytymiseen” muotoon ”marginalisaatioon”</t>
  </si>
  <si>
    <t>90-91</t>
  </si>
  <si>
    <t>91-92</t>
  </si>
  <si>
    <t>"Eläkepolitiikka ja monet työurakysymykset ovat  työmarkkinajärjestöjen välillä neuvoteltavia asioita."</t>
  </si>
  <si>
    <t>Lauseen loppuun: ”...ottaen huomioon perustulon ympärillä käydyn keskustelun”</t>
  </si>
  <si>
    <t>Lauseen loppuun: "...sekä tarveharkintaisuuden eri mahdollisuudet huomioiden."</t>
  </si>
  <si>
    <t>Pursiainen (AYY)</t>
  </si>
  <si>
    <t>poistetaan Yliopisto 2030-tosukohta</t>
  </si>
  <si>
    <t>”SYL tulee koko vuoden vaikuttamaan aktiivisesti siihen, että yliopistojen tarjoama koulutus toteutetaan tehostamispaineenkin alla opiskelijaystävällisesti ja laadukkaasti, siten että opiskelijoiden on mahdollista valmistua tavoiteajassa hyvä opiskelukyky säilyttäen. SYL pitää esillä kesäopiskelun, joustavien opiskelumahdollisuuksien, riittävän ohjauksen ja aktivoivan opetuksen merkitystä opiskeluja edistävinä tekijöinä sekä tukee ylioppilaskuntia paikallisessa vaikuttamistyössä. Tämän lisäksi ylioppilasliike vastaa omalta osaltaan käynnissä olevaan keskusteluun tulevaisuuden tiedeyhteisöstä luomalla visionsa suomalaisesta ideaaliyliopistosta.”</t>
  </si>
  <si>
    <t xml:space="preserve">Muutetaan riviltä 68 alkava virke seuraavasti ”Vuoden 2013 aikana ylioppilasliike luo pohjan korkeakoulutusideaalin luomisesta” </t>
  </si>
  <si>
    <t>muutetaan rivien ilmaukset ”yliopisto” muotoon korkeakoulutus</t>
  </si>
  <si>
    <t>muutetaan rivit muotoon "SYL:n keskustoimisto koordinoi ja seuraa visiointityötä. Työhön osallistuvat ylioppilaskunnat, ylioppilasliikkeen alumnitoimijat ja muut sidosryhmät kuten esimerkiksi tulevaisuuden tutkimuskeskus. Työn tuloksena luodaan käytännöt jatkuvan toiminnan käynnistämiseksi."</t>
  </si>
  <si>
    <t>67-82</t>
  </si>
  <si>
    <t>70-72</t>
  </si>
  <si>
    <t>Muutetaan otsikko muotoon "Toimintakykyinen ja tulevaisuuteen katsova yliopisto"</t>
  </si>
  <si>
    <t>75-76</t>
  </si>
  <si>
    <t xml:space="preserve">Korvataan rivien 75–76 virke ”Huomiota kiinnitetään myös yliopistodemokratiaan ja opiskelijan asemaan yliopistoyhteisössä.” virkkeellä ”Visioon kuuluu myös opiskelijan aseman pohtiminen yliopistojen päätöksenteossa sekä ihanteellisen yliopistodemokraattisen mallin luominen.” </t>
  </si>
  <si>
    <t>muutetaan rivillä 76 alkava virke "Ideaaliyliopistoa..." muutetaan muotoon: ”Osana visiotyötä tarkastellaan koko ideaalikorkeakoulujärjestelmää suhteessa yhteiskunnan ja yksilöiden osaamis- ja sivistystarpeisiin.”  ja tämä siirretään ko. kappaleen toiseksi virkkeeksi</t>
  </si>
  <si>
    <t>79-82</t>
  </si>
  <si>
    <t>Muutetaan kappaleen ensimmäinen virke muotoon: ”Vuonna 2013 SYL luo laajan huoltosuhteen heikkenemiseen, työelämän muutoksiin ja eläkepoliittisiin kysymyksiin liittyvän näkemyksen sukupolvien välisestä oikeudenmukaisuudesta.”</t>
  </si>
  <si>
    <t>Lisäys</t>
  </si>
  <si>
    <r>
      <t xml:space="preserve">Lisätään rivin 89 loppuun kaksi sanaa ”...jotta nuoren sukupolven ääni tulisi </t>
    </r>
    <r>
      <rPr>
        <b/>
        <sz val="8"/>
        <rFont val="Arial"/>
        <family val="2"/>
      </rPr>
      <t xml:space="preserve">yhteiskunnallisessa keskustelussa </t>
    </r>
    <r>
      <rPr>
        <sz val="8"/>
        <rFont val="Arial"/>
        <family val="2"/>
      </rPr>
      <t>vahvemmin esille.“ (lisäksi korjataan kirjoitusvirhe rivillä 89)</t>
    </r>
  </si>
  <si>
    <t>Muutetaan virke aktiivimuotoon: ”Vuoden 2013 aikana SYL syventää osaamistaan etenkin eläkepolitiikkaan ja huoltosuhdepäätöksiin liittyvistä asioista.”</t>
  </si>
  <si>
    <t>Lauseen loppuun: ”...sekä tuetaan ylioppilaskuntien työelämäasioiden osaamisen kehittymistä."</t>
  </si>
  <si>
    <t>Jones (HYY)</t>
  </si>
  <si>
    <t>Rannanpää (OYY)</t>
  </si>
  <si>
    <t>102-105</t>
  </si>
  <si>
    <t>110-114</t>
  </si>
  <si>
    <t>Naams (TTYY)</t>
  </si>
  <si>
    <t>Laakso (AYY)</t>
  </si>
  <si>
    <t>Heiska (JYY)</t>
  </si>
  <si>
    <t>"oleskelulupa- ja maahanmuuttokäytäntöihin" -&gt;  "oleskelulupa-, työlupa- ja maahanmuuttokäytäntöihin"</t>
  </si>
  <si>
    <t>“SYL ja ylioppilaskunnat ryhtyvät vaikutustyöhön” muotoon “SYL ryhtyy yhteistyössä ylioppilaskuntien kanssa vaikutustyöhön”</t>
  </si>
  <si>
    <t>lisäys: “kartoittaa” muotoon “kartoittaa ja edistää”</t>
  </si>
  <si>
    <t>Siirretään virke: "Työn tavoitteena on nostaa korkeakouluista käytävän kansainvälistymiskeskustelun rinnalle laajempi keskustelu suomalaisen yhteiskunnan kansainvälistymisestä ja kansainvälisten tutkinto-opiskelijoiden roolista tässä kehityksessä.” riville 118 (kappaleen loppuun) seuraavassa muodossa “Tavoitteena on lisäksi nostaa korkeakouluista käytävän kansainvälistymiskeskustelun rinnalle laajempi keskustelu suomalaisen yhteiskunnan kansainvälistymisestä ja kansainvälisten tutkinto-opiskelijoiden roolista tässä kehityksessä.”</t>
  </si>
  <si>
    <t>Poistetaan sana “Lisäksi”</t>
  </si>
  <si>
    <t>Muutetaan virke muotoon: ”Parannusehdotuksia etsitään ensisijaisesti työllistymiseen, kotimaisten kielten ja kulttuurin oppimiseen,  kansainvälisten opiskelijoiden arvostuksen kohottamiseen, sekä esimerkiksi oleskelulupa- ja maahanmuuttokäytäntöihin. Lisäksi tuetaan ylioppilaskuntia yliopistojen palveluihin ja viestintään, kolmikieliseen (suomi, ruotsi, englanti) viestintään, asumiseen ja asumispalveluihin, opiskelijaetuihin, opiskelijajärjestöjen saavutettavuuteen ja verkostoitumisen mahdollisuuksiin liittyvissä kysymyksissä.”</t>
  </si>
  <si>
    <t>Järvenpää (Tamy)</t>
  </si>
  <si>
    <t>Lehtinen (Tamy)</t>
  </si>
  <si>
    <t>120-135</t>
  </si>
  <si>
    <t>Tervaportti (LTKY)</t>
  </si>
  <si>
    <t>Vahevaara (VYY)</t>
  </si>
  <si>
    <t>Poistetaan koko kirjaus</t>
  </si>
  <si>
    <t>133-135</t>
  </si>
  <si>
    <t>131-133</t>
  </si>
  <si>
    <t>Korvataan virke "Vaikutustyötä..." virkkeellä "Vaikutustyötä maksuttoman koulutuksen puolesta suunnitellaan ja tehdään tiiviissä yhteistyössä heti vuoden alusta ylioppilaskuntien kanssa, ja keskinäistä tiedonkulkua parannetaan toiminnan terävöittämiseksi. SYL koordinoi oman vaikuttamisensa lisäksi ylioppilaskuntien paikallista vaikuttamistyötä tukemalla ja ohjeistamalla."</t>
  </si>
  <si>
    <t>Korjataan rivillä 121 kirjoitusvirhe "Suomaisen" sanalla "Suomalaisen".</t>
  </si>
  <si>
    <r>
      <t>SYL aktivoi keskustelua</t>
    </r>
    <r>
      <rPr>
        <b/>
        <sz val="8"/>
        <rFont val="Arial"/>
        <family val="2"/>
      </rPr>
      <t xml:space="preserve"> tasa-arvoisen ja saavutettavan</t>
    </r>
    <r>
      <rPr>
        <sz val="8"/>
        <rFont val="Arial"/>
        <family val="2"/>
      </rPr>
      <t xml:space="preserve"> pohjoismaisen korkeakoulutuksen vahvuuksista ja kehittämiskohteista. </t>
    </r>
  </si>
  <si>
    <t>12b</t>
  </si>
  <si>
    <t>korjataan yksityiskohtaisissa perusteluissa osion Hallitus alta kirjoitusvirhe: "kotipaikkakunnalle" muotoon "opiskelupaikkakunnalle"</t>
  </si>
  <si>
    <t>Yleisperustelut: hallituksen opiskelupaikkakunnalle matkustamisen oikeus 1krt/vkossa -&gt; 1krt/kk</t>
  </si>
  <si>
    <t>koko teksti</t>
  </si>
  <si>
    <t>uusi pohja</t>
  </si>
  <si>
    <t>otsikko</t>
  </si>
  <si>
    <t>”Suomi ei pärjää pelkästään korkeakoulutuksen määrällä, vaan yliopistojen on panostettava ennen kaikkea opetuksen ja tutkimuksen korkeaan laatuun. Suomen ylioppilaskuntien liiton (SYL) liittokokous vaatii, että yliopistot kantavat yhdessä vastuun kaikista koulutusaloista ja lähtevät edistämään yliopistojen rakenteellista kehittämistä määrätietoisesti. Rakenteellista kehittämistä on tehtävä ensisijaisesti koulutuksen ja tutkimuksen laadun lisäämiseksi. Tämä edellyttää sitä, että yliopistot sitoutuvat sopimaan järkevästä työnjaosta.
Yliopistoindeksin jäädytyksen myötä yliopistojen rahoituksessa on 40 miljoonan euron lovi vuodelle 2013. Huonontuvassa taloustilanteessa yliopistojen on kyettävä keskinäisen kilpailun sijaan yhteistyöhön ja tehtävä välttämättömät päätökset yliopistokentän toimintatapojen ja rakenteiden uudistamiseksi.”</t>
  </si>
  <si>
    <t>Muutetaan virke ”Liittokokous vaatii…” muotoon: ”Liittokokous vaatii, että filiaalien ja yliopistokeskusten tutkintoon johtavan koulutuksen laatua ja tuloksellisuutta arvioidaan kriittisesti.”</t>
  </si>
  <si>
    <t>Liittokokous vaatii, että filiaalien ja yliopistokeskusten tutkintoon johtavaa koulutusta arvioidaan paitsi yliopistojen profiilin myös alueellisen koulutustarpeen pohjalta.</t>
  </si>
  <si>
    <t>Poistetaan virke ”Vähintään on varmistettava…”</t>
  </si>
  <si>
    <t>Esitys: Lisäys riville 19: ”Korkeakouluverkon keskittäminen laadullisin perustein ei kuitenkaan automaattisesti tarkoita pienien yksiköiden hävittämistä, sillä alan kärjet voivat löytyä myös muualta kuin suurista yliopistokaupungeista.”</t>
  </si>
  <si>
    <t>Katajamäki (ÅAS)</t>
  </si>
  <si>
    <t>Kangasniemi (LTKY)</t>
  </si>
  <si>
    <t>Pistemaa (OYY)</t>
  </si>
  <si>
    <t>Tikkinen (OYY)</t>
  </si>
  <si>
    <t>Böling (HYY)</t>
  </si>
  <si>
    <t>Haapalehto (HYY)</t>
  </si>
  <si>
    <t>Kangas (AYY)</t>
  </si>
  <si>
    <t>Hiekkanen (TTYY)</t>
  </si>
  <si>
    <t>Hannus (HYY)</t>
  </si>
  <si>
    <t>Ruokonen (Tamy)</t>
  </si>
  <si>
    <t>Juvonen (JYY)</t>
  </si>
  <si>
    <t>Miettola (Tamy)</t>
  </si>
  <si>
    <t>Yliranta (OYY)</t>
  </si>
  <si>
    <t>Isotalo (TYY)</t>
  </si>
  <si>
    <t>Toivonen (HYY)</t>
  </si>
  <si>
    <t>Kallio (ÅAS)</t>
  </si>
  <si>
    <t>Isotalo (AYY)</t>
  </si>
  <si>
    <t>Ikäheimo (AYY)</t>
  </si>
  <si>
    <t>Himmanen (Tamy)</t>
  </si>
  <si>
    <t>Hurme (HYY)</t>
  </si>
  <si>
    <t>Lahti (VYY)</t>
  </si>
  <si>
    <t>Viinanen (TTYY)</t>
  </si>
  <si>
    <t>Heinälä (Tamy)</t>
  </si>
  <si>
    <t>Loukonen (TYY)</t>
  </si>
  <si>
    <t>Syrilä (TTYY)</t>
  </si>
  <si>
    <t>Hanhilahti (Tamy)</t>
  </si>
  <si>
    <t>Kalasniemi (AYY)</t>
  </si>
  <si>
    <t>Suonio (TTYY)</t>
  </si>
  <si>
    <t>Tikkala (OYY)</t>
  </si>
  <si>
    <t>Salminen (LTKY)</t>
  </si>
  <si>
    <t>Hakkarainen (OYY)</t>
  </si>
  <si>
    <t>Parkkinen (HYY)</t>
  </si>
  <si>
    <t>Kettunen (ISYY)</t>
  </si>
  <si>
    <t>Hakola (HYY)</t>
  </si>
  <si>
    <t>Norola (HYY)</t>
  </si>
  <si>
    <t>Kettunen (OYY)</t>
  </si>
  <si>
    <t>Rissanen (OYY)</t>
  </si>
  <si>
    <t>Lisätään riville 206 alkaen lause: "Tällä kirjauksella ei puututa muihin eurooppalaisten tutkintojen viitekehysten mukaisia tutkintoja myöntäviin koulutuksen järjestäjiin, mikäli viitekehysten laatustandardien toteutuminen on varmistettu asianmukaisesti."</t>
  </si>
  <si>
    <t>208-209</t>
  </si>
  <si>
    <t>Salmi (AYY)</t>
  </si>
  <si>
    <t>Seppänen (TTYY)</t>
  </si>
  <si>
    <t>Riville 209 päättyvän virkkeen jälkeen: "Korkeakoulutukseen hakeutuvat saavat riittävän informaation erottaakseen liiketaloudellisin perustein toimivat ja muut korkeakoulut selkeästi toisistaan."</t>
  </si>
  <si>
    <t>227-229</t>
  </si>
  <si>
    <t>Myllärinen (ISYY)</t>
  </si>
  <si>
    <t>Hylätään esitetty opintotukea koskeva kirjaus, ja korvataan se virkkeellä "Korotettua opintotukea ei myönnetä opiskelijalle, joka joko suorittaa tosiasiallisesti opintojaan Suomessa tai ilmoittaa asuvansa pysyvästi Suomessa. Ulkomailla opiskeluun tarkoitettua korotettua opintotukea voi saada vain siinä tapauksessa, että opiskelija tosiasiassa asuu ja opiskelee ulkomailla."</t>
  </si>
  <si>
    <t>Karinkanta (HYY)</t>
  </si>
  <si>
    <t>Ittonen (HYY)</t>
  </si>
  <si>
    <t>Lisäys riville 229: "[-- suoritettaviin korkeakouluopintoihin] sekä opintolainan valtiontakausta Maanpuolustuskorkeakoulussa suoritettaviin opintoihin."</t>
  </si>
  <si>
    <t>ks. ed.</t>
  </si>
  <si>
    <t>muut - ks. seur.</t>
  </si>
  <si>
    <t>hallitus</t>
  </si>
  <si>
    <r>
      <t>"</t>
    </r>
    <r>
      <rPr>
        <sz val="8"/>
        <rFont val="Arial"/>
        <family val="2"/>
      </rPr>
      <t xml:space="preserve">Suomessa toimivat korkeakoulutuksen järjestäjät </t>
    </r>
    <r>
      <rPr>
        <b/>
        <sz val="8"/>
        <rFont val="Arial"/>
        <family val="2"/>
      </rPr>
      <t>tarjoavat eurooppalaisen tutkintojen viitekehyksen mukaisia tutkintoja sekä</t>
    </r>
    <r>
      <rPr>
        <sz val="8"/>
        <rFont val="Arial"/>
        <family val="2"/>
      </rPr>
      <t xml:space="preserve"> kuuluvat yliopistolain ja ammattikorkeakoululain määrittelemän </t>
    </r>
    <r>
      <rPr>
        <b/>
        <sz val="8"/>
        <rFont val="Arial"/>
        <family val="2"/>
      </rPr>
      <t xml:space="preserve">tai vastaavan </t>
    </r>
    <r>
      <rPr>
        <sz val="8"/>
        <rFont val="Arial"/>
        <family val="2"/>
      </rPr>
      <t>julkisen sääntelyn piiriin."</t>
    </r>
  </si>
  <si>
    <r>
      <t>Muutetaan riveillä 208-209 olevasta virkkeestä kaksi sanaa: "</t>
    </r>
    <r>
      <rPr>
        <b/>
        <sz val="8"/>
        <rFont val="Arial"/>
        <family val="2"/>
      </rPr>
      <t xml:space="preserve">Laadukas </t>
    </r>
    <r>
      <rPr>
        <sz val="8"/>
        <rFont val="Arial"/>
        <family val="2"/>
      </rPr>
      <t xml:space="preserve">ja yhteiskunnan osaamistarpeet huomioiva korkeakoulujärjestelmä ei jätä </t>
    </r>
    <r>
      <rPr>
        <b/>
        <sz val="8"/>
        <rFont val="Arial"/>
        <family val="2"/>
      </rPr>
      <t>kysyntää</t>
    </r>
    <r>
      <rPr>
        <sz val="8"/>
        <rFont val="Arial"/>
        <family val="2"/>
      </rPr>
      <t xml:space="preserve"> yksilöön kohdistuvalle tutkintokaupalle."</t>
    </r>
  </si>
  <si>
    <r>
      <t>Muutetaan riveillä 208-209 olevasta virkkeestä kaksi sanaa: "Riittävä</t>
    </r>
    <r>
      <rPr>
        <b/>
        <sz val="8"/>
        <rFont val="Arial"/>
        <family val="2"/>
      </rPr>
      <t xml:space="preserve"> </t>
    </r>
    <r>
      <rPr>
        <sz val="8"/>
        <rFont val="Arial"/>
        <family val="2"/>
      </rPr>
      <t xml:space="preserve">ja yhteiskunnan osaamistarpeet </t>
    </r>
    <r>
      <rPr>
        <b/>
        <sz val="8"/>
        <rFont val="Arial"/>
        <family val="2"/>
      </rPr>
      <t xml:space="preserve">täyttävä </t>
    </r>
    <r>
      <rPr>
        <sz val="8"/>
        <rFont val="Arial"/>
        <family val="2"/>
      </rPr>
      <t xml:space="preserve">korkeakoulujärjestelmä ei jätä </t>
    </r>
    <r>
      <rPr>
        <b/>
        <sz val="8"/>
        <rFont val="Arial"/>
        <family val="2"/>
      </rPr>
      <t>kysyntää</t>
    </r>
    <r>
      <rPr>
        <sz val="8"/>
        <rFont val="Arial"/>
        <family val="2"/>
      </rPr>
      <t xml:space="preserve"> yksilöön kohdistuvalle tutkintokaupalle."</t>
    </r>
  </si>
  <si>
    <t>Lisätään riveillä 208-209 olevan virkkeen jälkeen virke "Koulutuksen järjestäjien motiivi ei ole ensisijaisesti liiketaloudellinen, vaan osaamisen ja sivistyksen kasvattaminen."</t>
  </si>
  <si>
    <t>6-14</t>
  </si>
  <si>
    <t>16-17</t>
  </si>
  <si>
    <t>17-18</t>
  </si>
  <si>
    <t>18-19</t>
  </si>
  <si>
    <t>muotoon "Ylioppilasliike vaatii yliopistojen yhteistyötä rakenteelliseen kehittämiseen"</t>
  </si>
  <si>
    <t>korvataan kaksi ensimmäistä kappaletta: "Suomi ei pärjää pelkästään korkeakoulutuksen määrällä, vaan yliopistojen on panostettava ennen kaikkea  opetuksen ja tutkimuksen korkeaan laatuun. Suomen ylioppilaskuntien liiton (SYL) liittokokous huomauttaa, että yliopistojen on yhdessä  kannettava vastuunsa kaikista koulutusaloista. Tiukassakaan taloustilanteessa ei pidä alistua itsekkäälle kilpailulle resursseista, vaan on pyrittävä kokonaisuutta hyödyttävään ratkaisuun. Tämä onnistuu ainoastaan siten, että yliopistot sitoutuvat sopimaan järkevästä työnjaosta. Kaikkien ei tarvitse eikä kannata tehdä kaikkea."</t>
  </si>
  <si>
    <t>ensimmäisen virkkeen tilalle: ”On tärkeää, että yliopisto pystyy tarjoamaan mielekkään laajuisen valikoiman opintoja sekä laadukkaan ja monipuolisen opiskeluympäristön. Opiskelijoiden oikeusturvan kannalta on myös olennaista, että kaikille opiskelijoille tarjotaan tasavertaiset tukipalvelut sekä yhtäläiset mahdollisuudet laadukkaaseen koulutukseen.”</t>
  </si>
  <si>
    <t>ensimmäisen virkkeen tilalle: "Opiskelijoiden oikeusturvan kannalta on olennaista, että yliopisto pystyy tarjoamaan kaikille opiskelijoille mielekkään laajuisen valikoiman opintoja, laadukkaan ja monipuolisen opiskeluympäristön sekä tasavertaiset tukipalvelut."</t>
  </si>
  <si>
    <t>Ahlgren (TYY)</t>
  </si>
  <si>
    <t>12a</t>
  </si>
  <si>
    <t>KANNANOTTO (ASIAKIRJA 12A)</t>
  </si>
  <si>
    <t>YHTEISKANNANOTTO (ASIAKIRJA 12B)</t>
  </si>
  <si>
    <t>TALOUSARVIO (ASIAKIRJA NUMERO 10)</t>
  </si>
  <si>
    <t>TOIMINTASUUNNITELMA (ASIAKIRJA NUMERO 08A)</t>
  </si>
  <si>
    <t>LINJAPAPERI (ASIAKIRJA NUMERO 07)</t>
  </si>
  <si>
    <t>LIITTOKOKOUS 2012 - MUUTOSESITYKSET</t>
  </si>
  <si>
    <t xml:space="preserve">Lisätään kannanottoon jälkikirjoitus:
N! P! T!
</t>
  </si>
  <si>
    <t>Hyv = esitetään hyväksyttäväksi. Hyl = esitetään hylättäväksi. Muut = esitetään hyväksyttäväksi muutoksin. Ei käs = hallitus ei käsitellyt, koska esitys työryhmä ei hyväksynyt esitystä.</t>
  </si>
  <si>
    <t>Huldén (SHS)</t>
  </si>
  <si>
    <t>Muutetaan kohta "opintotuen yhteensovittamista muiden etuuksien…" muotoon "opintotuen yhteensovittamista työelämän ja muiden etuuksien kanssa kehitetään."</t>
  </si>
  <si>
    <t>Markkanen (Tamy)</t>
  </si>
  <si>
    <t>79-82 korvataan seuraavalla kappaleella: "SYL:n keskustoimisto koordinoi ja seuraa visiointityötä. Työhön osallistuvat ylioppilaskunnat, ylioppilasliikkeen alumnitoimijat ja muut sidosryhmät. Työn tuloksena luodaan käytännöt jatkuvan toiminnan käynnistämiseksi."</t>
  </si>
  <si>
    <t>ponsi</t>
  </si>
  <si>
    <t>Kaleva (Tamy)</t>
  </si>
  <si>
    <t>Tämän ponnen hyväksyessään liittokokous edellyttää, että Suomen ylioppilaskuntien liiton hallitus parantaa ja yhdenmukaistaa liiton tiedottamiskäytäntöjä ja yhteydenpitoa ylioppilaskuntiin etenkin edunvalvontakysymyksissä tulevan vuoden aikana. Yhteydenpitoa ja tiedotusta varten laaditaan selkeä ja yhtenäinen malli. SYL mahdollistaa
niin ylioppilaskuntien kuin SYL:nkin asiantuntijuuden ja materiaalien saamisen yhteiseen käyttöön.</t>
  </si>
  <si>
    <t>Tämän ponnen hyväksyessään liittokokous velvoittaa SYL:n hallituksen aktivoitumaan jatkuvassa toiminnassaan akateemisen yrittäjyyden osalta.
Yrittäjyys, ja varsinkin yliopisto-opiskelijoiden kohdalla akateeminen yrittäjyys, on ollut paljon esillä keskusteluissa, niin kansallisesti kuin kansainvälisesti. Viime vuonna SYL:n työelämävastaava Janne Koskenniemi aloitti työn akateemisen yrittäjyyden osalta, mutta
tänä vuonna ei jo avattuista keskustelukanavista ole pidetty huolta. Ponnen tarkoituksena ei ole kuormittaa nuorta ja eläkekysymyksien kanssa painivaa sektoria entisestään, vaan pikemminkin pitää huolta ja avata uusia keskustelukanavia, joiden avulla paikalliset ylioppilaskunnat voivat helposti vaikuttaa ja valvoa oman yliopistonsa painiskeluja yrittäjyyden tukemisessa.</t>
  </si>
  <si>
    <t>125-126</t>
  </si>
  <si>
    <t>sanat ", vaan kokeilu lopetetaan viimeistään 2014."</t>
  </si>
  <si>
    <t>Sulin (TYY)</t>
  </si>
  <si>
    <t>Tanskanen (LYY)</t>
  </si>
  <si>
    <t>Tämän ponnen hyväksyessään SYL:n liittokokous velvoittaa SYL:n  
hallituksen lisäämään toimintasuunnitelman jatkuvan toiminnan  
kuvaukseen uuden sarakkeen, jossa viitataan SYL:n linjapaperin kohtiin  
joissa kyseisiä asioita käsitellään.</t>
  </si>
  <si>
    <t>MUUT ASIAT</t>
  </si>
  <si>
    <t>Karppanen (TTYY)</t>
  </si>
  <si>
    <t>Tämän ponnen hyväksyessään liittokokous asettaa hallituksen kontolle tuoda ja muuten aina kunniallisen mafian tavoin pakottaa vuonna 2013 syntyvän Taideyliopiston ylioppilaskunnan ensimmäinen liittokokousdelegaatio esiintymään tai muuten viihdyttämään Suomen mafian liittokokousta spektaakkelin eli niin kutsutun proggiksen muodossa. Näin toimiessaan tulee uuden ylioppilaskunnan vakuuttaa mafia erinomaisuudestaan osallistua toimintaan tasavertaisena jäsenenä.</t>
  </si>
  <si>
    <t>Hussi (AYY)</t>
  </si>
  <si>
    <t>Okkonen (ISYY)</t>
  </si>
  <si>
    <t xml:space="preserve">Tämän ponnen hyväksyessään liittokokous velvoittaa Suomen ylioppilaskuntien liittoa astumaan tiedon valtatielle. Tämä uusi valtatie tuo tullessaan käytännölliset ja helppokäyttöiset nettilomakkeet, virtaviivaiset ja nopeat ilmoittautumislomakkeet sekä elävän ja innostavan sähköisen materiaalipankin. Näille tavoitteille äänensä antoi myös moni hallitukseen pyrkinyt paremman viestinnän puolesta puhuessaan sekä moni ylioppilaskuntien työntekijä savuisten saluunoiden nurkissa nuristessaan. 
On aika siirtyä sähköpostin liitetiedostojen ja skannaamista vaativien lomakkeiden ajasta kohti sähköistä yhteiskuntaa. Meidän, opiskelijoiden yhteiskuntaa.
</t>
  </si>
  <si>
    <t>Tämän ponnen hyväksyessään SYL:n liittokokous edellyttää, että tästä lähtien liittokokouksissa jaettavat viralliset dokumentit ovat jaossa hyvän hallintotavan mukaisesti ja niiden jakamisesta tiedotetaan kunnolla.
Dokumentit tulisi ensisijaisesti jakaa SYL:n omien järjestelmien kautta. Jotta dokumentteihin pääsee käsiksi, ei voida edellyttää rekisteröitymistä kolmannen osapuolen järjestelmään ja omien henkilötietojen luovuttamista tälle kolmannelle osapuolelle. Lisäksi SYL:n tulee pitää huolta, että dokumenttien juridinen omistussuhde pysyy SYL:lla myös sähköisenä versiona.
Dokumenttien jakamisesta tulisi myös tiedottaa etukäteen, vähintään jokaisen liittokokousdelegaation yhteyshenkilölle.</t>
  </si>
  <si>
    <t>(samansisältöinen)</t>
  </si>
  <si>
    <t>Tämän ponnen hyväksyessään Suomen ylioppilaskuntien liitto (SYL) ry:n liittokokous velvoittaa Suomen ylioppilaskuntien liitto (SYL) ry:n hallitusta toimittamaan keskeiset liittokokousmateriaalit vastaisuudessa myös englanniksi.</t>
  </si>
  <si>
    <t>af Hällström (AYY)</t>
  </si>
  <si>
    <t>Lipa</t>
  </si>
  <si>
    <t>Tosu</t>
  </si>
  <si>
    <t>Ponnet</t>
  </si>
  <si>
    <t>Esitykset</t>
  </si>
  <si>
    <t>Talousarvio</t>
  </si>
  <si>
    <t>Kannanotot</t>
  </si>
  <si>
    <t>Yhteiskannanotto</t>
  </si>
  <si>
    <t>Esityksiä läpi</t>
  </si>
  <si>
    <t>Esityksiä läpi muutoksin</t>
  </si>
  <si>
    <t>Kaikki yhteensä</t>
  </si>
  <si>
    <t>Kangasniemi (</t>
  </si>
  <si>
    <t>Vesterinen (</t>
  </si>
  <si>
    <t>Yht.</t>
  </si>
  <si>
    <t>Läpäisy</t>
  </si>
  <si>
    <t>Kannatukset</t>
  </si>
  <si>
    <t>Kannatuksia läpi</t>
  </si>
  <si>
    <t>Kannatuksia läpi muutoksin</t>
  </si>
  <si>
    <t>(AYY)</t>
  </si>
  <si>
    <t>(HYY)</t>
  </si>
  <si>
    <t>(ISYY)</t>
  </si>
  <si>
    <t>(JYY)</t>
  </si>
  <si>
    <t>(KUVYO)</t>
  </si>
  <si>
    <t>(LYY)</t>
  </si>
  <si>
    <t>(LTKY)</t>
  </si>
  <si>
    <t>(OYY)</t>
  </si>
  <si>
    <t>(SAY)</t>
  </si>
  <si>
    <t>(SHS)</t>
  </si>
  <si>
    <t>(TTYY)</t>
  </si>
  <si>
    <t>(Tamy)</t>
  </si>
  <si>
    <t>(TeYO)</t>
  </si>
  <si>
    <t>(TYY)</t>
  </si>
  <si>
    <t>(VYY)</t>
  </si>
  <si>
    <t>(ÅAS)</t>
  </si>
  <si>
    <t>(SKY)</t>
  </si>
  <si>
    <t>kaikista</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</si>
</sst>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0"/>
      <name val="Arial"/>
      <family val="2"/>
    </font>
    <font>
      <sz val="8"/>
      <name val="Arial"/>
      <family val="2"/>
    </font>
    <font>
      <b/>
      <sz val="8"/>
      <name val="Arial"/>
      <family val="2"/>
    </font>
    <font>
      <i/>
      <sz val="8"/>
      <name val="Arial"/>
      <family val="2"/>
    </font>
    <font>
      <sz val="10"/>
      <name val="Arial"/>
      <family val="2"/>
    </font>
    <font>
      <b/>
      <sz val="10"/>
      <name val="Arial"/>
      <family val="2"/>
    </font>
  </fonts>
  <fills count="3">
    <fill>
      <patternFill patternType="none"/>
    </fill>
    <fill>
      <patternFill patternType="gray125"/>
    </fill>
    <fill>
      <patternFill patternType="solid">
        <fgColor theme="0"/>
        <bgColor indexed="64"/>
      </patternFill>
    </fill>
  </fills>
  <borders count="7">
    <border>
      <left/>
      <right/>
      <top/>
      <bottom/>
      <diagonal/>
    </border>
    <border>
      <left style="hair">
        <color indexed="8"/>
      </left>
      <right style="hair">
        <color indexed="8"/>
      </right>
      <top style="hair">
        <color indexed="8"/>
      </top>
      <bottom style="hair">
        <color indexed="8"/>
      </bottom>
      <diagonal/>
    </border>
    <border>
      <left style="hair">
        <color indexed="8"/>
      </left>
      <right style="hair">
        <color indexed="8"/>
      </right>
      <top style="hair">
        <color indexed="8"/>
      </top>
      <bottom style="medium">
        <color indexed="64"/>
      </bottom>
      <diagonal/>
    </border>
    <border>
      <left style="hair">
        <color indexed="8"/>
      </left>
      <right style="hair">
        <color indexed="8"/>
      </right>
      <top/>
      <bottom style="hair">
        <color indexed="8"/>
      </bottom>
      <diagonal/>
    </border>
    <border>
      <left style="hair">
        <color indexed="8"/>
      </left>
      <right style="hair">
        <color indexed="8"/>
      </right>
      <top/>
      <bottom/>
      <diagonal/>
    </border>
    <border>
      <left style="hair">
        <color indexed="8"/>
      </left>
      <right style="hair">
        <color indexed="8"/>
      </right>
      <top/>
      <bottom style="medium">
        <color indexed="64"/>
      </bottom>
      <diagonal/>
    </border>
    <border>
      <left style="hair">
        <color indexed="8"/>
      </left>
      <right style="hair">
        <color indexed="8"/>
      </right>
      <top style="hair">
        <color indexed="8"/>
      </top>
      <bottom/>
      <diagonal/>
    </border>
  </borders>
  <cellStyleXfs count="2">
    <xf numFmtId="0" fontId="0" fillId="0" borderId="0"/>
    <xf numFmtId="0" fontId="4" fillId="0" borderId="0"/>
  </cellStyleXfs>
  <cellXfs count="94">
    <xf numFmtId="0" fontId="0" fillId="0" borderId="0" xfId="0"/>
    <xf numFmtId="0" fontId="1" fillId="0" borderId="1" xfId="0" applyFont="1" applyBorder="1" applyAlignment="1" applyProtection="1">
      <alignment vertical="top"/>
      <protection locked="0"/>
    </xf>
    <xf numFmtId="0" fontId="1" fillId="0" borderId="1" xfId="0" applyFont="1" applyBorder="1" applyAlignment="1">
      <alignment vertical="top"/>
    </xf>
    <xf numFmtId="0" fontId="1" fillId="0" borderId="1" xfId="0" applyFont="1" applyBorder="1" applyAlignment="1">
      <alignment vertical="top" wrapText="1"/>
    </xf>
    <xf numFmtId="0" fontId="2" fillId="0" borderId="0" xfId="0" applyFont="1" applyBorder="1" applyAlignment="1" applyProtection="1">
      <alignment vertical="top"/>
      <protection locked="0"/>
    </xf>
    <xf numFmtId="0" fontId="2" fillId="0" borderId="0" xfId="0" applyFont="1" applyBorder="1" applyAlignment="1">
      <alignment vertical="top"/>
    </xf>
    <xf numFmtId="0" fontId="2" fillId="0" borderId="1" xfId="0" applyFont="1" applyBorder="1" applyAlignment="1">
      <alignment vertical="top" wrapText="1"/>
    </xf>
    <xf numFmtId="0" fontId="2" fillId="0" borderId="1" xfId="0" applyFont="1" applyBorder="1" applyAlignment="1">
      <alignment vertical="top"/>
    </xf>
    <xf numFmtId="0" fontId="2" fillId="0" borderId="0" xfId="0" applyFont="1" applyBorder="1" applyAlignment="1">
      <alignment vertical="top" wrapText="1"/>
    </xf>
    <xf numFmtId="0" fontId="1" fillId="0" borderId="0" xfId="0" applyFont="1" applyBorder="1" applyAlignment="1">
      <alignment vertical="top" wrapText="1"/>
    </xf>
    <xf numFmtId="0" fontId="2" fillId="0" borderId="1" xfId="0" applyFont="1" applyBorder="1" applyAlignment="1" applyProtection="1">
      <alignment vertical="top"/>
      <protection locked="0"/>
    </xf>
    <xf numFmtId="0" fontId="1" fillId="0" borderId="0" xfId="0" applyFont="1" applyAlignment="1">
      <alignment vertical="top"/>
    </xf>
    <xf numFmtId="0" fontId="1" fillId="0" borderId="0" xfId="0" applyFont="1" applyAlignment="1">
      <alignment vertical="top" wrapText="1"/>
    </xf>
    <xf numFmtId="0" fontId="1" fillId="0" borderId="1" xfId="0" applyFont="1" applyFill="1" applyBorder="1" applyAlignment="1">
      <alignment vertical="top" wrapText="1"/>
    </xf>
    <xf numFmtId="0" fontId="1" fillId="0" borderId="1" xfId="1" applyFont="1" applyBorder="1" applyAlignment="1" applyProtection="1">
      <alignment vertical="top"/>
      <protection locked="0"/>
    </xf>
    <xf numFmtId="0" fontId="1" fillId="0" borderId="1" xfId="1" applyFont="1" applyBorder="1" applyAlignment="1">
      <alignment vertical="top"/>
    </xf>
    <xf numFmtId="0" fontId="1" fillId="0" borderId="1" xfId="1" applyFont="1" applyBorder="1" applyAlignment="1">
      <alignment vertical="top" wrapText="1"/>
    </xf>
    <xf numFmtId="0" fontId="1" fillId="0" borderId="3" xfId="1" applyFont="1" applyBorder="1" applyAlignment="1" applyProtection="1">
      <alignment vertical="top"/>
      <protection locked="0"/>
    </xf>
    <xf numFmtId="0" fontId="1" fillId="0" borderId="3" xfId="1" applyFont="1" applyBorder="1" applyAlignment="1">
      <alignment vertical="top"/>
    </xf>
    <xf numFmtId="0" fontId="1" fillId="0" borderId="3" xfId="1" applyFont="1" applyBorder="1" applyAlignment="1">
      <alignment vertical="top" wrapText="1"/>
    </xf>
    <xf numFmtId="0" fontId="1" fillId="0" borderId="3" xfId="0" applyFont="1" applyBorder="1" applyAlignment="1">
      <alignment vertical="top"/>
    </xf>
    <xf numFmtId="0" fontId="1" fillId="0" borderId="2" xfId="0" applyFont="1" applyBorder="1" applyAlignment="1" applyProtection="1">
      <alignment vertical="top"/>
      <protection locked="0"/>
    </xf>
    <xf numFmtId="0" fontId="1" fillId="0" borderId="2" xfId="0" applyFont="1" applyBorder="1" applyAlignment="1">
      <alignment vertical="top"/>
    </xf>
    <xf numFmtId="0" fontId="1" fillId="0" borderId="2" xfId="0" applyFont="1" applyBorder="1" applyAlignment="1">
      <alignment vertical="top" wrapText="1"/>
    </xf>
    <xf numFmtId="0" fontId="1" fillId="0" borderId="3" xfId="0" applyFont="1" applyBorder="1" applyAlignment="1" applyProtection="1">
      <alignment vertical="top"/>
      <protection locked="0"/>
    </xf>
    <xf numFmtId="0" fontId="1" fillId="0" borderId="3" xfId="0" applyFont="1" applyBorder="1" applyAlignment="1">
      <alignment vertical="top" wrapText="1"/>
    </xf>
    <xf numFmtId="0" fontId="1" fillId="0" borderId="2" xfId="1" applyFont="1" applyBorder="1" applyAlignment="1" applyProtection="1">
      <alignment vertical="top"/>
      <protection locked="0"/>
    </xf>
    <xf numFmtId="0" fontId="1" fillId="0" borderId="2" xfId="1" applyFont="1" applyBorder="1" applyAlignment="1">
      <alignment vertical="top"/>
    </xf>
    <xf numFmtId="0" fontId="1" fillId="0" borderId="2" xfId="1" applyFont="1" applyBorder="1" applyAlignment="1">
      <alignment vertical="top" wrapText="1"/>
    </xf>
    <xf numFmtId="0" fontId="1" fillId="0" borderId="4" xfId="0" applyFont="1" applyFill="1" applyBorder="1" applyAlignment="1">
      <alignment vertical="top"/>
    </xf>
    <xf numFmtId="0" fontId="1" fillId="0" borderId="1" xfId="0" applyFont="1" applyBorder="1" applyAlignment="1" applyProtection="1">
      <alignment vertical="top"/>
      <protection locked="0"/>
    </xf>
    <xf numFmtId="0" fontId="1" fillId="0" borderId="1" xfId="0" applyFont="1" applyBorder="1" applyAlignment="1">
      <alignment vertical="top"/>
    </xf>
    <xf numFmtId="0" fontId="1" fillId="0" borderId="1" xfId="0" applyFont="1" applyBorder="1" applyAlignment="1">
      <alignment vertical="top" wrapText="1"/>
    </xf>
    <xf numFmtId="0" fontId="1" fillId="0" borderId="0" xfId="0" applyFont="1" applyBorder="1" applyAlignment="1">
      <alignment vertical="top" wrapText="1"/>
    </xf>
    <xf numFmtId="0" fontId="1" fillId="0" borderId="1" xfId="0" applyFont="1" applyBorder="1" applyAlignment="1" applyProtection="1">
      <alignment horizontal="left" vertical="top"/>
      <protection locked="0"/>
    </xf>
    <xf numFmtId="0" fontId="1" fillId="0" borderId="2" xfId="0" applyFont="1" applyBorder="1" applyAlignment="1" applyProtection="1">
      <alignment horizontal="left" vertical="top"/>
      <protection locked="0"/>
    </xf>
    <xf numFmtId="0" fontId="1" fillId="0" borderId="5" xfId="0" applyFont="1" applyFill="1" applyBorder="1" applyAlignment="1">
      <alignment vertical="top"/>
    </xf>
    <xf numFmtId="0" fontId="1" fillId="0" borderId="2" xfId="0" applyFont="1" applyFill="1" applyBorder="1" applyAlignment="1">
      <alignment vertical="top" wrapText="1"/>
    </xf>
    <xf numFmtId="0" fontId="2" fillId="0" borderId="3" xfId="0" applyFont="1" applyBorder="1" applyAlignment="1" applyProtection="1">
      <alignment vertical="top"/>
      <protection locked="0"/>
    </xf>
    <xf numFmtId="0" fontId="1" fillId="0" borderId="3" xfId="0" applyFont="1" applyBorder="1" applyAlignment="1" applyProtection="1">
      <alignment horizontal="left" vertical="top"/>
      <protection locked="0"/>
    </xf>
    <xf numFmtId="0" fontId="5" fillId="0" borderId="1" xfId="0" applyFont="1" applyBorder="1" applyAlignment="1" applyProtection="1">
      <alignment vertical="top"/>
      <protection locked="0"/>
    </xf>
    <xf numFmtId="17" fontId="1" fillId="0" borderId="1" xfId="0" applyNumberFormat="1" applyFont="1" applyBorder="1" applyAlignment="1" applyProtection="1">
      <alignment vertical="top"/>
      <protection locked="0"/>
    </xf>
    <xf numFmtId="0" fontId="1" fillId="2" borderId="1" xfId="0" applyFont="1" applyFill="1" applyBorder="1" applyAlignment="1" applyProtection="1">
      <alignment vertical="top"/>
      <protection locked="0"/>
    </xf>
    <xf numFmtId="0" fontId="0" fillId="0" borderId="0" xfId="0"/>
    <xf numFmtId="0" fontId="1" fillId="0" borderId="1" xfId="0" applyFont="1" applyBorder="1" applyAlignment="1" applyProtection="1">
      <alignment vertical="top"/>
      <protection locked="0"/>
    </xf>
    <xf numFmtId="0" fontId="1" fillId="0" borderId="1" xfId="0" applyFont="1" applyBorder="1" applyAlignment="1">
      <alignment vertical="top"/>
    </xf>
    <xf numFmtId="0" fontId="1" fillId="0" borderId="1" xfId="0" applyFont="1" applyBorder="1" applyAlignment="1">
      <alignment vertical="top" wrapText="1"/>
    </xf>
    <xf numFmtId="0" fontId="2" fillId="0" borderId="0" xfId="0" applyFont="1" applyBorder="1" applyAlignment="1" applyProtection="1">
      <alignment vertical="top"/>
      <protection locked="0"/>
    </xf>
    <xf numFmtId="0" fontId="2" fillId="0" borderId="0" xfId="0" applyFont="1" applyBorder="1" applyAlignment="1">
      <alignment vertical="top"/>
    </xf>
    <xf numFmtId="0" fontId="2" fillId="0" borderId="1" xfId="0" applyFont="1" applyBorder="1" applyAlignment="1">
      <alignment vertical="top" wrapText="1"/>
    </xf>
    <xf numFmtId="0" fontId="2" fillId="0" borderId="1" xfId="0" applyFont="1" applyBorder="1" applyAlignment="1">
      <alignment vertical="top"/>
    </xf>
    <xf numFmtId="0" fontId="2" fillId="0" borderId="0" xfId="0" applyFont="1" applyBorder="1" applyAlignment="1">
      <alignment vertical="top" wrapText="1"/>
    </xf>
    <xf numFmtId="0" fontId="1" fillId="0" borderId="0" xfId="0" applyFont="1" applyBorder="1" applyAlignment="1">
      <alignment vertical="top" wrapText="1"/>
    </xf>
    <xf numFmtId="0" fontId="1" fillId="0" borderId="0" xfId="0" applyFont="1" applyAlignment="1">
      <alignment vertical="top" wrapText="1"/>
    </xf>
    <xf numFmtId="49" fontId="1" fillId="0" borderId="1" xfId="0" applyNumberFormat="1" applyFont="1" applyBorder="1" applyAlignment="1" applyProtection="1">
      <alignment vertical="top"/>
      <protection locked="0"/>
    </xf>
    <xf numFmtId="0" fontId="2" fillId="0" borderId="1" xfId="0" applyFont="1" applyBorder="1" applyAlignment="1">
      <alignment horizontal="right" vertical="top"/>
    </xf>
    <xf numFmtId="0" fontId="2" fillId="0" borderId="0" xfId="0" applyFont="1" applyBorder="1" applyAlignment="1">
      <alignment horizontal="right" vertical="top"/>
    </xf>
    <xf numFmtId="0" fontId="1" fillId="0" borderId="1" xfId="0" applyFont="1" applyBorder="1" applyAlignment="1">
      <alignment horizontal="right" vertical="top"/>
    </xf>
    <xf numFmtId="0" fontId="1" fillId="0" borderId="2" xfId="0" applyFont="1" applyBorder="1" applyAlignment="1">
      <alignment horizontal="right" vertical="top"/>
    </xf>
    <xf numFmtId="0" fontId="1" fillId="0" borderId="3" xfId="0" applyFont="1" applyBorder="1" applyAlignment="1">
      <alignment horizontal="right" vertical="top"/>
    </xf>
    <xf numFmtId="0" fontId="1" fillId="0" borderId="0" xfId="0" applyFont="1" applyAlignment="1">
      <alignment horizontal="right" vertical="top"/>
    </xf>
    <xf numFmtId="0" fontId="2" fillId="0" borderId="1" xfId="0" applyFont="1" applyBorder="1" applyAlignment="1">
      <alignment horizontal="right" vertical="top" wrapText="1"/>
    </xf>
    <xf numFmtId="0" fontId="1" fillId="0" borderId="1" xfId="0" applyFont="1" applyBorder="1" applyAlignment="1">
      <alignment horizontal="right" vertical="top" wrapText="1"/>
    </xf>
    <xf numFmtId="0" fontId="5" fillId="0" borderId="3" xfId="0" applyFont="1" applyBorder="1" applyAlignment="1" applyProtection="1">
      <alignment vertical="top"/>
      <protection locked="0"/>
    </xf>
    <xf numFmtId="0" fontId="1" fillId="0" borderId="4" xfId="0" applyFont="1" applyBorder="1" applyAlignment="1" applyProtection="1">
      <alignment vertical="top"/>
      <protection locked="0"/>
    </xf>
    <xf numFmtId="0" fontId="1" fillId="0" borderId="4" xfId="0" applyFont="1" applyBorder="1" applyAlignment="1">
      <alignment vertical="top" wrapText="1"/>
    </xf>
    <xf numFmtId="0" fontId="1" fillId="0" borderId="4" xfId="0" applyFont="1" applyBorder="1" applyAlignment="1">
      <alignment vertical="top"/>
    </xf>
    <xf numFmtId="0" fontId="1" fillId="0" borderId="4" xfId="0" applyFont="1" applyBorder="1" applyAlignment="1">
      <alignment horizontal="right" vertical="top"/>
    </xf>
    <xf numFmtId="0" fontId="5" fillId="0" borderId="1" xfId="0" applyFont="1" applyBorder="1" applyAlignment="1">
      <alignment vertical="top" wrapText="1"/>
    </xf>
    <xf numFmtId="17" fontId="1" fillId="0" borderId="1" xfId="0" applyNumberFormat="1" applyFont="1" applyBorder="1" applyAlignment="1" applyProtection="1">
      <alignment vertical="top" wrapText="1"/>
      <protection locked="0"/>
    </xf>
    <xf numFmtId="0" fontId="1" fillId="0" borderId="6" xfId="0" applyFont="1" applyBorder="1" applyAlignment="1" applyProtection="1">
      <alignment vertical="top"/>
      <protection locked="0"/>
    </xf>
    <xf numFmtId="0" fontId="1" fillId="0" borderId="6" xfId="0" applyFont="1" applyBorder="1" applyAlignment="1">
      <alignment vertical="top" wrapText="1"/>
    </xf>
    <xf numFmtId="0" fontId="1" fillId="0" borderId="6" xfId="0" applyFont="1" applyBorder="1" applyAlignment="1">
      <alignment vertical="top"/>
    </xf>
    <xf numFmtId="0" fontId="1" fillId="0" borderId="6" xfId="0" applyFont="1" applyFill="1" applyBorder="1" applyAlignment="1">
      <alignment vertical="top" wrapText="1"/>
    </xf>
    <xf numFmtId="0" fontId="1" fillId="0" borderId="6" xfId="0" applyFont="1" applyBorder="1" applyAlignment="1">
      <alignment horizontal="right" vertical="top"/>
    </xf>
    <xf numFmtId="0" fontId="1" fillId="0" borderId="3" xfId="0" applyFont="1" applyFill="1" applyBorder="1" applyAlignment="1">
      <alignment vertical="top" wrapText="1"/>
    </xf>
    <xf numFmtId="0" fontId="1" fillId="0" borderId="0" xfId="0" applyFont="1" applyBorder="1" applyAlignment="1" applyProtection="1">
      <alignment vertical="top"/>
      <protection locked="0"/>
    </xf>
    <xf numFmtId="0" fontId="1" fillId="0" borderId="0" xfId="0" applyFont="1" applyBorder="1" applyAlignment="1">
      <alignment vertical="top"/>
    </xf>
    <xf numFmtId="0" fontId="1" fillId="0" borderId="0" xfId="0" applyFont="1" applyBorder="1" applyAlignment="1">
      <alignment horizontal="right" vertical="top"/>
    </xf>
    <xf numFmtId="0" fontId="1" fillId="0" borderId="6" xfId="0" applyFont="1" applyBorder="1" applyAlignment="1" applyProtection="1">
      <alignment vertical="top" wrapText="1"/>
      <protection locked="0"/>
    </xf>
    <xf numFmtId="0" fontId="1" fillId="0" borderId="5" xfId="0" applyFont="1" applyBorder="1" applyAlignment="1" applyProtection="1">
      <alignment vertical="top"/>
      <protection locked="0"/>
    </xf>
    <xf numFmtId="0" fontId="1" fillId="0" borderId="5" xfId="0" applyFont="1" applyBorder="1" applyAlignment="1">
      <alignment vertical="top" wrapText="1"/>
    </xf>
    <xf numFmtId="0" fontId="1" fillId="0" borderId="5" xfId="0" applyFont="1" applyBorder="1" applyAlignment="1">
      <alignment vertical="top"/>
    </xf>
    <xf numFmtId="0" fontId="1" fillId="0" borderId="5" xfId="0" applyFont="1" applyBorder="1" applyAlignment="1">
      <alignment horizontal="right" vertical="top"/>
    </xf>
    <xf numFmtId="0" fontId="2" fillId="0" borderId="6" xfId="0" applyFont="1" applyBorder="1" applyAlignment="1">
      <alignment vertical="top" wrapText="1"/>
    </xf>
    <xf numFmtId="0" fontId="2" fillId="0" borderId="6" xfId="0" applyFont="1" applyBorder="1" applyAlignment="1" applyProtection="1">
      <alignment vertical="top"/>
      <protection locked="0"/>
    </xf>
    <xf numFmtId="0" fontId="2" fillId="0" borderId="3" xfId="0" applyFont="1" applyBorder="1" applyAlignment="1">
      <alignment vertical="top" wrapText="1"/>
    </xf>
    <xf numFmtId="0" fontId="2" fillId="0" borderId="2" xfId="0" applyFont="1" applyBorder="1" applyAlignment="1">
      <alignment vertical="top" wrapText="1"/>
    </xf>
    <xf numFmtId="0" fontId="2" fillId="0" borderId="1" xfId="1" applyFont="1" applyBorder="1" applyAlignment="1">
      <alignment vertical="top" wrapText="1"/>
    </xf>
    <xf numFmtId="0" fontId="2" fillId="0" borderId="4" xfId="0" applyFont="1" applyBorder="1" applyAlignment="1">
      <alignment vertical="top" wrapText="1"/>
    </xf>
    <xf numFmtId="0" fontId="2" fillId="0" borderId="5" xfId="0" applyFont="1" applyBorder="1" applyAlignment="1">
      <alignment vertical="top" wrapText="1"/>
    </xf>
    <xf numFmtId="10" fontId="0" fillId="0" borderId="0" xfId="0" applyNumberFormat="1"/>
    <xf numFmtId="10" fontId="0" fillId="0" borderId="0" xfId="0" applyNumberFormat="1"/>
    <xf numFmtId="10" fontId="0" fillId="0" borderId="0" xfId="0" applyNumberFormat="1"/>
  </cellXfs>
  <cellStyles count="2">
    <cellStyle name="Excel Built-in Normal" xfId="1"/>
    <cellStyle name="Normal" xfId="0" builtinId="0"/>
  </cellStyles>
  <dxfs count="5">
    <dxf>
      <font>
        <condense val="0"/>
        <extend val="0"/>
        <color rgb="FF006100"/>
      </font>
      <fill>
        <patternFill>
          <bgColor rgb="FFC6EF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5"/>
  <sheetViews>
    <sheetView tabSelected="1" workbookViewId="0">
      <selection activeCell="I10" sqref="I10"/>
    </sheetView>
  </sheetViews>
  <sheetFormatPr defaultRowHeight="12.75" x14ac:dyDescent="0.2"/>
  <cols>
    <col min="1" max="1" width="21.7109375" bestFit="1" customWidth="1"/>
  </cols>
  <sheetData>
    <row r="1" spans="1:8" x14ac:dyDescent="0.2">
      <c r="A1" t="s">
        <v>192</v>
      </c>
      <c r="B1" t="s">
        <v>183</v>
      </c>
      <c r="C1" t="s">
        <v>184</v>
      </c>
      <c r="D1" t="s">
        <v>187</v>
      </c>
      <c r="E1" t="s">
        <v>188</v>
      </c>
      <c r="F1" t="s">
        <v>189</v>
      </c>
      <c r="G1" t="s">
        <v>185</v>
      </c>
      <c r="H1" t="s">
        <v>195</v>
      </c>
    </row>
    <row r="2" spans="1:8" x14ac:dyDescent="0.2">
      <c r="A2" t="s">
        <v>186</v>
      </c>
      <c r="B2">
        <v>6</v>
      </c>
      <c r="C2">
        <v>36</v>
      </c>
      <c r="D2">
        <v>2</v>
      </c>
      <c r="E2">
        <v>11</v>
      </c>
      <c r="F2">
        <v>1</v>
      </c>
      <c r="G2">
        <v>7</v>
      </c>
      <c r="H2">
        <f t="shared" ref="H2:H4" si="0">SUM(B2:G2)</f>
        <v>63</v>
      </c>
    </row>
    <row r="3" spans="1:8" x14ac:dyDescent="0.2">
      <c r="A3" t="s">
        <v>190</v>
      </c>
      <c r="B3">
        <v>2</v>
      </c>
      <c r="C3">
        <v>24</v>
      </c>
      <c r="D3">
        <v>0</v>
      </c>
      <c r="E3">
        <v>2</v>
      </c>
      <c r="F3">
        <v>0</v>
      </c>
      <c r="G3">
        <v>5</v>
      </c>
      <c r="H3">
        <f t="shared" si="0"/>
        <v>33</v>
      </c>
    </row>
    <row r="4" spans="1:8" x14ac:dyDescent="0.2">
      <c r="A4" t="s">
        <v>191</v>
      </c>
      <c r="B4">
        <v>2</v>
      </c>
      <c r="C4">
        <v>0</v>
      </c>
      <c r="D4">
        <v>0</v>
      </c>
      <c r="E4">
        <v>1</v>
      </c>
      <c r="F4">
        <v>0</v>
      </c>
      <c r="G4">
        <v>0</v>
      </c>
      <c r="H4">
        <f t="shared" si="0"/>
        <v>3</v>
      </c>
    </row>
    <row r="5" spans="1:8" x14ac:dyDescent="0.2">
      <c r="A5" t="s">
        <v>196</v>
      </c>
      <c r="B5" s="91">
        <f t="shared" ref="B5:H5" si="1">SUM(B3:B4)/B2</f>
        <v>0.66666666666666663</v>
      </c>
      <c r="C5" s="91">
        <f t="shared" si="1"/>
        <v>0.66666666666666663</v>
      </c>
      <c r="D5" s="91">
        <f t="shared" si="1"/>
        <v>0</v>
      </c>
      <c r="E5" s="91">
        <f t="shared" si="1"/>
        <v>0.27272727272727271</v>
      </c>
      <c r="F5" s="91">
        <f t="shared" si="1"/>
        <v>0</v>
      </c>
      <c r="G5" s="91">
        <f t="shared" si="1"/>
        <v>0.7142857142857143</v>
      </c>
      <c r="H5" s="91">
        <f t="shared" si="1"/>
        <v>0.5714285714285714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216</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0</v>
      </c>
      <c r="C2" s="92">
        <f>B2/Kaikki!B2</f>
        <v>0</v>
      </c>
      <c r="D2">
        <v>0</v>
      </c>
      <c r="E2" s="92">
        <f>D2/Kaikki!C2</f>
        <v>0</v>
      </c>
      <c r="F2">
        <v>0</v>
      </c>
      <c r="G2" s="92">
        <f>F2/Kaikki!D2</f>
        <v>0</v>
      </c>
      <c r="H2">
        <v>0</v>
      </c>
      <c r="I2" s="92">
        <f>H2/Kaikki!E2</f>
        <v>0</v>
      </c>
      <c r="J2">
        <v>0</v>
      </c>
      <c r="K2" s="92">
        <f>J2/Kaikki!F2</f>
        <v>0</v>
      </c>
      <c r="L2">
        <v>0</v>
      </c>
      <c r="M2" s="92">
        <f>L2/Kaikki!G2</f>
        <v>0</v>
      </c>
      <c r="N2">
        <f t="shared" ref="N2:N4" si="0">SUM(B2,D2,F2,H2,J2,L2)</f>
        <v>0</v>
      </c>
      <c r="O2" s="92">
        <f>N2/Kaikki!H2</f>
        <v>0</v>
      </c>
    </row>
    <row r="3" spans="1:15" x14ac:dyDescent="0.2">
      <c r="A3" t="s">
        <v>190</v>
      </c>
      <c r="B3">
        <v>0</v>
      </c>
      <c r="C3" s="93">
        <f>(B3+B4)/(Kaikki!B3+Kaikki!B4)</f>
        <v>0</v>
      </c>
      <c r="D3">
        <v>0</v>
      </c>
      <c r="E3" s="93">
        <f>(D3+D4)/(Kaikki!C3+Kaikki!C4)</f>
        <v>0</v>
      </c>
      <c r="F3">
        <v>0</v>
      </c>
      <c r="G3" s="93" t="e">
        <f>(F3+F4)/(Kaikki!D3+Kaikki!D4)</f>
        <v>#DIV/0!</v>
      </c>
      <c r="H3">
        <v>0</v>
      </c>
      <c r="I3" s="93">
        <f>(H3+H4)/(Kaikki!E3+Kaikki!E4)</f>
        <v>0</v>
      </c>
      <c r="J3">
        <v>0</v>
      </c>
      <c r="K3" s="93" t="e">
        <f>(J3+J4)/(Kaikki!F3+Kaikki!F4)</f>
        <v>#DIV/0!</v>
      </c>
      <c r="L3">
        <v>0</v>
      </c>
      <c r="M3" s="93">
        <f>(L3+L4)/(Kaikki!G3+Kaikki!G4)</f>
        <v>0</v>
      </c>
      <c r="N3">
        <f t="shared" si="0"/>
        <v>0</v>
      </c>
      <c r="O3" s="93">
        <f>(N3+N4)/(Kaikki!H3+Kaikki!H4)</f>
        <v>0</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t="e">
        <f>SUM(B3:B4)/B2</f>
        <v>#DIV/0!</v>
      </c>
      <c r="D5" s="92" t="e">
        <f>SUM(D3:D4)/D2</f>
        <v>#DIV/0!</v>
      </c>
      <c r="F5" s="92" t="e">
        <f>SUM(F3:F4)/F2</f>
        <v>#DIV/0!</v>
      </c>
      <c r="H5" s="92" t="e">
        <f>SUM(H3:H4)/H2</f>
        <v>#DIV/0!</v>
      </c>
      <c r="J5" s="92" t="e">
        <f>SUM(J3:J4)/J2</f>
        <v>#DIV/0!</v>
      </c>
      <c r="L5" s="92" t="e">
        <f>SUM(L3:L4)/L2</f>
        <v>#DIV/0!</v>
      </c>
      <c r="N5" s="92" t="e">
        <f>SUM(N3:N4)/N2</f>
        <v>#DIV/0!</v>
      </c>
    </row>
    <row r="7" spans="1:15" x14ac:dyDescent="0.2">
      <c r="A7" t="s">
        <v>197</v>
      </c>
      <c r="B7">
        <v>0</v>
      </c>
      <c r="C7" s="92">
        <f>B7/Kaikki!B2</f>
        <v>0</v>
      </c>
      <c r="D7">
        <v>0</v>
      </c>
      <c r="E7" s="92">
        <f>D7/Kaikki!C2</f>
        <v>0</v>
      </c>
      <c r="F7">
        <v>0</v>
      </c>
      <c r="G7" s="92">
        <f>F7/Kaikki!D2</f>
        <v>0</v>
      </c>
      <c r="H7">
        <v>0</v>
      </c>
      <c r="I7" s="92">
        <f>H7/Kaikki!E2</f>
        <v>0</v>
      </c>
      <c r="J7">
        <v>0</v>
      </c>
      <c r="K7" s="92">
        <f>J7/Kaikki!F2</f>
        <v>0</v>
      </c>
      <c r="L7">
        <v>0</v>
      </c>
      <c r="M7" s="92">
        <f>L7/Kaikki!G2</f>
        <v>0</v>
      </c>
      <c r="N7">
        <f t="shared" ref="N7:N9" si="1">SUM(B7,D7,F7,H7,J7,L7)</f>
        <v>0</v>
      </c>
      <c r="O7" s="92">
        <f>N7/Kaikki!H2</f>
        <v>0</v>
      </c>
    </row>
    <row r="8" spans="1:15" x14ac:dyDescent="0.2">
      <c r="A8" t="s">
        <v>198</v>
      </c>
      <c r="B8">
        <v>0</v>
      </c>
      <c r="C8" s="93">
        <f>(B8+B9)/(Kaikki!B3+Kaikki!B4)</f>
        <v>0</v>
      </c>
      <c r="D8">
        <v>0</v>
      </c>
      <c r="E8" s="93">
        <f>(D8+D9)/(Kaikki!C3+Kaikki!C4)</f>
        <v>0</v>
      </c>
      <c r="F8">
        <v>0</v>
      </c>
      <c r="G8" s="93" t="e">
        <f>(F8+F9)/(Kaikki!D3+Kaikki!D4)</f>
        <v>#DIV/0!</v>
      </c>
      <c r="H8">
        <v>0</v>
      </c>
      <c r="I8" s="93">
        <f>(H8+H9)/(Kaikki!E3+Kaikki!E4)</f>
        <v>0</v>
      </c>
      <c r="J8">
        <v>0</v>
      </c>
      <c r="K8" s="93" t="e">
        <f>(J8+J9)/(Kaikki!F3+Kaikki!F4)</f>
        <v>#DIV/0!</v>
      </c>
      <c r="L8">
        <v>0</v>
      </c>
      <c r="M8" s="93">
        <f>(L8+L9)/(Kaikki!G3+Kaikki!G4)</f>
        <v>0</v>
      </c>
      <c r="N8">
        <f t="shared" si="1"/>
        <v>0</v>
      </c>
      <c r="O8" s="93">
        <f>(N8+N9)/(Kaikki!H3+Kaikki!H4)</f>
        <v>0</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t="e">
        <f>SUM(B8:B9)/B7</f>
        <v>#DIV/0!</v>
      </c>
      <c r="D10" s="92" t="e">
        <f>SUM(D8:D9)/D7</f>
        <v>#DIV/0!</v>
      </c>
      <c r="F10" s="92" t="e">
        <f>SUM(F8:F9)/F7</f>
        <v>#DIV/0!</v>
      </c>
      <c r="H10" s="92" t="e">
        <f>SUM(H8:H9)/H7</f>
        <v>#DIV/0!</v>
      </c>
      <c r="J10" s="92" t="e">
        <f>SUM(J8:J9)/J7</f>
        <v>#DIV/0!</v>
      </c>
      <c r="L10" s="92" t="e">
        <f>SUM(L8:L9)/L7</f>
        <v>#DIV/0!</v>
      </c>
      <c r="N10" s="92" t="e">
        <f>SUM(N8:N9)/N7</f>
        <v>#DIV/0!</v>
      </c>
    </row>
  </sheetData>
  <mergeCells count="14">
    <mergeCell ref="O3:O4"/>
    <mergeCell ref="O8:O9"/>
    <mergeCell ref="I3:I4"/>
    <mergeCell ref="I8:I9"/>
    <mergeCell ref="K3:K4"/>
    <mergeCell ref="K8:K9"/>
    <mergeCell ref="M3:M4"/>
    <mergeCell ref="M8:M9"/>
    <mergeCell ref="C3:C4"/>
    <mergeCell ref="C8:C9"/>
    <mergeCell ref="E3:E4"/>
    <mergeCell ref="E8:E9"/>
    <mergeCell ref="G3:G4"/>
    <mergeCell ref="G8:G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215</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0</v>
      </c>
      <c r="C2" s="92">
        <f>B2/Kaikki!B2</f>
        <v>0</v>
      </c>
      <c r="D2">
        <v>0</v>
      </c>
      <c r="E2" s="92">
        <f>D2/Kaikki!C2</f>
        <v>0</v>
      </c>
      <c r="F2">
        <v>1</v>
      </c>
      <c r="G2" s="92">
        <f>F2/Kaikki!D2</f>
        <v>0.5</v>
      </c>
      <c r="H2">
        <v>1</v>
      </c>
      <c r="I2" s="92">
        <f>H2/Kaikki!E2</f>
        <v>9.0909090909090912E-2</v>
      </c>
      <c r="J2">
        <v>0</v>
      </c>
      <c r="K2" s="92">
        <f>J2/Kaikki!F2</f>
        <v>0</v>
      </c>
      <c r="L2">
        <v>0</v>
      </c>
      <c r="M2" s="92">
        <f>L2/Kaikki!G2</f>
        <v>0</v>
      </c>
      <c r="N2">
        <f t="shared" ref="N2:N4" si="0">SUM(B2,D2,F2,H2,J2,L2)</f>
        <v>2</v>
      </c>
      <c r="O2" s="92">
        <f>N2/Kaikki!H2</f>
        <v>3.1746031746031744E-2</v>
      </c>
    </row>
    <row r="3" spans="1:15" x14ac:dyDescent="0.2">
      <c r="A3" t="s">
        <v>190</v>
      </c>
      <c r="B3">
        <v>0</v>
      </c>
      <c r="C3" s="93">
        <f>(B3+B4)/(Kaikki!B3+Kaikki!B4)</f>
        <v>0</v>
      </c>
      <c r="D3">
        <v>0</v>
      </c>
      <c r="E3" s="93">
        <f>(D3+D4)/(Kaikki!C3+Kaikki!C4)</f>
        <v>0</v>
      </c>
      <c r="F3">
        <v>0</v>
      </c>
      <c r="G3" s="93" t="e">
        <f>(F3+F4)/(Kaikki!D3+Kaikki!D4)</f>
        <v>#DIV/0!</v>
      </c>
      <c r="H3">
        <v>0</v>
      </c>
      <c r="I3" s="93">
        <f>(H3+H4)/(Kaikki!E3+Kaikki!E4)</f>
        <v>0.33333333333333331</v>
      </c>
      <c r="J3">
        <v>0</v>
      </c>
      <c r="K3" s="93" t="e">
        <f>(J3+J4)/(Kaikki!F3+Kaikki!F4)</f>
        <v>#DIV/0!</v>
      </c>
      <c r="L3">
        <v>0</v>
      </c>
      <c r="M3" s="93">
        <f>(L3+L4)/(Kaikki!G3+Kaikki!G4)</f>
        <v>0</v>
      </c>
      <c r="N3">
        <f t="shared" si="0"/>
        <v>0</v>
      </c>
      <c r="O3" s="93">
        <f>(N3+N4)/(Kaikki!H3+Kaikki!H4)</f>
        <v>2.7777777777777776E-2</v>
      </c>
    </row>
    <row r="4" spans="1:15" x14ac:dyDescent="0.2">
      <c r="A4" t="s">
        <v>191</v>
      </c>
      <c r="B4">
        <v>0</v>
      </c>
      <c r="C4" s="93"/>
      <c r="D4">
        <v>0</v>
      </c>
      <c r="E4" s="93"/>
      <c r="F4">
        <v>0</v>
      </c>
      <c r="G4" s="93"/>
      <c r="H4">
        <v>1</v>
      </c>
      <c r="I4" s="93"/>
      <c r="J4">
        <v>0</v>
      </c>
      <c r="K4" s="93"/>
      <c r="L4">
        <v>0</v>
      </c>
      <c r="M4" s="93"/>
      <c r="N4">
        <f t="shared" si="0"/>
        <v>1</v>
      </c>
      <c r="O4" s="93"/>
    </row>
    <row r="5" spans="1:15" x14ac:dyDescent="0.2">
      <c r="A5" t="s">
        <v>196</v>
      </c>
      <c r="B5" s="92" t="e">
        <f>SUM(B3:B4)/B2</f>
        <v>#DIV/0!</v>
      </c>
      <c r="D5" s="92" t="e">
        <f>SUM(D3:D4)/D2</f>
        <v>#DIV/0!</v>
      </c>
      <c r="F5" s="92">
        <f>SUM(F3:F4)/F2</f>
        <v>0</v>
      </c>
      <c r="H5" s="92">
        <f>SUM(H3:H4)/H2</f>
        <v>1</v>
      </c>
      <c r="J5" s="92" t="e">
        <f>SUM(J3:J4)/J2</f>
        <v>#DIV/0!</v>
      </c>
      <c r="L5" s="92" t="e">
        <f>SUM(L3:L4)/L2</f>
        <v>#DIV/0!</v>
      </c>
      <c r="N5" s="92">
        <f>SUM(N3:N4)/N2</f>
        <v>0.5</v>
      </c>
    </row>
    <row r="7" spans="1:15" x14ac:dyDescent="0.2">
      <c r="A7" t="s">
        <v>197</v>
      </c>
      <c r="B7">
        <v>0</v>
      </c>
      <c r="C7" s="92">
        <f>B7/Kaikki!B2</f>
        <v>0</v>
      </c>
      <c r="D7">
        <v>0</v>
      </c>
      <c r="E7" s="92">
        <f>D7/Kaikki!C2</f>
        <v>0</v>
      </c>
      <c r="F7">
        <v>0</v>
      </c>
      <c r="G7" s="92">
        <f>F7/Kaikki!D2</f>
        <v>0</v>
      </c>
      <c r="H7">
        <v>0</v>
      </c>
      <c r="I7" s="92">
        <f>H7/Kaikki!E2</f>
        <v>0</v>
      </c>
      <c r="J7">
        <v>0</v>
      </c>
      <c r="K7" s="92">
        <f>J7/Kaikki!F2</f>
        <v>0</v>
      </c>
      <c r="L7">
        <v>0</v>
      </c>
      <c r="M7" s="92">
        <f>L7/Kaikki!G2</f>
        <v>0</v>
      </c>
      <c r="N7">
        <f t="shared" ref="N7:N9" si="1">SUM(B7,D7,F7,H7,J7,L7)</f>
        <v>0</v>
      </c>
      <c r="O7" s="92">
        <f>N7/Kaikki!H2</f>
        <v>0</v>
      </c>
    </row>
    <row r="8" spans="1:15" x14ac:dyDescent="0.2">
      <c r="A8" t="s">
        <v>198</v>
      </c>
      <c r="B8">
        <v>0</v>
      </c>
      <c r="C8" s="93">
        <f>(B8+B9)/(Kaikki!B3+Kaikki!B4)</f>
        <v>0</v>
      </c>
      <c r="D8">
        <v>0</v>
      </c>
      <c r="E8" s="93">
        <f>(D8+D9)/(Kaikki!C3+Kaikki!C4)</f>
        <v>0</v>
      </c>
      <c r="F8">
        <v>0</v>
      </c>
      <c r="G8" s="93" t="e">
        <f>(F8+F9)/(Kaikki!D3+Kaikki!D4)</f>
        <v>#DIV/0!</v>
      </c>
      <c r="H8">
        <v>0</v>
      </c>
      <c r="I8" s="93">
        <f>(H8+H9)/(Kaikki!E3+Kaikki!E4)</f>
        <v>0</v>
      </c>
      <c r="J8">
        <v>0</v>
      </c>
      <c r="K8" s="93" t="e">
        <f>(J8+J9)/(Kaikki!F3+Kaikki!F4)</f>
        <v>#DIV/0!</v>
      </c>
      <c r="L8">
        <v>0</v>
      </c>
      <c r="M8" s="93">
        <f>(L8+L9)/(Kaikki!G3+Kaikki!G4)</f>
        <v>0</v>
      </c>
      <c r="N8">
        <f t="shared" si="1"/>
        <v>0</v>
      </c>
      <c r="O8" s="93">
        <f>(N8+N9)/(Kaikki!H3+Kaikki!H4)</f>
        <v>0</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t="e">
        <f>SUM(B8:B9)/B7</f>
        <v>#DIV/0!</v>
      </c>
      <c r="D10" s="92" t="e">
        <f>SUM(D8:D9)/D7</f>
        <v>#DIV/0!</v>
      </c>
      <c r="F10" s="92" t="e">
        <f>SUM(F8:F9)/F7</f>
        <v>#DIV/0!</v>
      </c>
      <c r="H10" s="92" t="e">
        <f>SUM(H8:H9)/H7</f>
        <v>#DIV/0!</v>
      </c>
      <c r="J10" s="92" t="e">
        <f>SUM(J8:J9)/J7</f>
        <v>#DIV/0!</v>
      </c>
      <c r="L10" s="92" t="e">
        <f>SUM(L8:L9)/L7</f>
        <v>#DIV/0!</v>
      </c>
      <c r="N10" s="92" t="e">
        <f>SUM(N8:N9)/N7</f>
        <v>#DIV/0!</v>
      </c>
    </row>
  </sheetData>
  <mergeCells count="14">
    <mergeCell ref="O3:O4"/>
    <mergeCell ref="O8:O9"/>
    <mergeCell ref="I3:I4"/>
    <mergeCell ref="I8:I9"/>
    <mergeCell ref="K3:K4"/>
    <mergeCell ref="K8:K9"/>
    <mergeCell ref="M3:M4"/>
    <mergeCell ref="M8:M9"/>
    <mergeCell ref="C3:C4"/>
    <mergeCell ref="C8:C9"/>
    <mergeCell ref="E3:E4"/>
    <mergeCell ref="E8:E9"/>
    <mergeCell ref="G3:G4"/>
    <mergeCell ref="G8:G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214</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0</v>
      </c>
      <c r="C2" s="92">
        <f>B2/Kaikki!B2</f>
        <v>0</v>
      </c>
      <c r="D2">
        <v>0</v>
      </c>
      <c r="E2" s="92">
        <f>D2/Kaikki!C2</f>
        <v>0</v>
      </c>
      <c r="F2">
        <v>0</v>
      </c>
      <c r="G2" s="92">
        <f>F2/Kaikki!D2</f>
        <v>0</v>
      </c>
      <c r="H2">
        <v>0</v>
      </c>
      <c r="I2" s="92">
        <f>H2/Kaikki!E2</f>
        <v>0</v>
      </c>
      <c r="J2">
        <v>0</v>
      </c>
      <c r="K2" s="92">
        <f>J2/Kaikki!F2</f>
        <v>0</v>
      </c>
      <c r="L2">
        <v>0</v>
      </c>
      <c r="M2" s="92">
        <f>L2/Kaikki!G2</f>
        <v>0</v>
      </c>
      <c r="N2">
        <f t="shared" ref="N2:N4" si="0">SUM(B2,D2,F2,H2,J2,L2)</f>
        <v>0</v>
      </c>
      <c r="O2" s="92">
        <f>N2/Kaikki!H2</f>
        <v>0</v>
      </c>
    </row>
    <row r="3" spans="1:15" x14ac:dyDescent="0.2">
      <c r="A3" t="s">
        <v>190</v>
      </c>
      <c r="B3">
        <v>0</v>
      </c>
      <c r="C3" s="93">
        <f>(B3+B4)/(Kaikki!B3+Kaikki!B4)</f>
        <v>0</v>
      </c>
      <c r="D3">
        <v>0</v>
      </c>
      <c r="E3" s="93">
        <f>(D3+D4)/(Kaikki!C3+Kaikki!C4)</f>
        <v>0</v>
      </c>
      <c r="F3">
        <v>0</v>
      </c>
      <c r="G3" s="93" t="e">
        <f>(F3+F4)/(Kaikki!D3+Kaikki!D4)</f>
        <v>#DIV/0!</v>
      </c>
      <c r="H3">
        <v>0</v>
      </c>
      <c r="I3" s="93">
        <f>(H3+H4)/(Kaikki!E3+Kaikki!E4)</f>
        <v>0</v>
      </c>
      <c r="J3">
        <v>0</v>
      </c>
      <c r="K3" s="93" t="e">
        <f>(J3+J4)/(Kaikki!F3+Kaikki!F4)</f>
        <v>#DIV/0!</v>
      </c>
      <c r="L3">
        <v>0</v>
      </c>
      <c r="M3" s="93">
        <f>(L3+L4)/(Kaikki!G3+Kaikki!G4)</f>
        <v>0</v>
      </c>
      <c r="N3">
        <f t="shared" si="0"/>
        <v>0</v>
      </c>
      <c r="O3" s="93">
        <f>(N3+N4)/(Kaikki!H3+Kaikki!H4)</f>
        <v>0</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t="e">
        <f>SUM(B3:B4)/B2</f>
        <v>#DIV/0!</v>
      </c>
      <c r="D5" s="92" t="e">
        <f>SUM(D3:D4)/D2</f>
        <v>#DIV/0!</v>
      </c>
      <c r="F5" s="92" t="e">
        <f>SUM(F3:F4)/F2</f>
        <v>#DIV/0!</v>
      </c>
      <c r="H5" s="92" t="e">
        <f>SUM(H3:H4)/H2</f>
        <v>#DIV/0!</v>
      </c>
      <c r="J5" s="92" t="e">
        <f>SUM(J3:J4)/J2</f>
        <v>#DIV/0!</v>
      </c>
      <c r="L5" s="92" t="e">
        <f>SUM(L3:L4)/L2</f>
        <v>#DIV/0!</v>
      </c>
      <c r="N5" s="92" t="e">
        <f>SUM(N3:N4)/N2</f>
        <v>#DIV/0!</v>
      </c>
    </row>
    <row r="7" spans="1:15" x14ac:dyDescent="0.2">
      <c r="A7" t="s">
        <v>197</v>
      </c>
      <c r="B7">
        <v>0</v>
      </c>
      <c r="C7" s="92">
        <f>B7/Kaikki!B2</f>
        <v>0</v>
      </c>
      <c r="D7">
        <v>2</v>
      </c>
      <c r="E7" s="92">
        <f>D7/Kaikki!C2</f>
        <v>5.5555555555555552E-2</v>
      </c>
      <c r="F7">
        <v>0</v>
      </c>
      <c r="G7" s="92">
        <f>F7/Kaikki!D2</f>
        <v>0</v>
      </c>
      <c r="H7">
        <v>0</v>
      </c>
      <c r="I7" s="92">
        <f>H7/Kaikki!E2</f>
        <v>0</v>
      </c>
      <c r="J7">
        <v>0</v>
      </c>
      <c r="K7" s="92">
        <f>J7/Kaikki!F2</f>
        <v>0</v>
      </c>
      <c r="L7">
        <v>0</v>
      </c>
      <c r="M7" s="92">
        <f>L7/Kaikki!G2</f>
        <v>0</v>
      </c>
      <c r="N7">
        <f t="shared" ref="N7:N9" si="1">SUM(B7,D7,F7,H7,J7,L7)</f>
        <v>2</v>
      </c>
      <c r="O7" s="92">
        <f>N7/Kaikki!H2</f>
        <v>3.1746031746031744E-2</v>
      </c>
    </row>
    <row r="8" spans="1:15" x14ac:dyDescent="0.2">
      <c r="A8" t="s">
        <v>198</v>
      </c>
      <c r="B8">
        <v>0</v>
      </c>
      <c r="C8" s="93">
        <f>(B8+B9)/(Kaikki!B3+Kaikki!B4)</f>
        <v>0</v>
      </c>
      <c r="D8">
        <v>1</v>
      </c>
      <c r="E8" s="93">
        <f>(D8+D9)/(Kaikki!C3+Kaikki!C4)</f>
        <v>4.1666666666666664E-2</v>
      </c>
      <c r="F8">
        <v>0</v>
      </c>
      <c r="G8" s="93" t="e">
        <f>(F8+F9)/(Kaikki!D3+Kaikki!D4)</f>
        <v>#DIV/0!</v>
      </c>
      <c r="H8">
        <v>0</v>
      </c>
      <c r="I8" s="93">
        <f>(H8+H9)/(Kaikki!E3+Kaikki!E4)</f>
        <v>0</v>
      </c>
      <c r="J8">
        <v>0</v>
      </c>
      <c r="K8" s="93" t="e">
        <f>(J8+J9)/(Kaikki!F3+Kaikki!F4)</f>
        <v>#DIV/0!</v>
      </c>
      <c r="L8">
        <v>0</v>
      </c>
      <c r="M8" s="93">
        <f>(L8+L9)/(Kaikki!G3+Kaikki!G4)</f>
        <v>0</v>
      </c>
      <c r="N8">
        <f t="shared" si="1"/>
        <v>1</v>
      </c>
      <c r="O8" s="93">
        <f>(N8+N9)/(Kaikki!H3+Kaikki!H4)</f>
        <v>2.7777777777777776E-2</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t="e">
        <f>SUM(B8:B9)/B7</f>
        <v>#DIV/0!</v>
      </c>
      <c r="D10" s="92">
        <f>SUM(D8:D9)/D7</f>
        <v>0.5</v>
      </c>
      <c r="F10" s="92" t="e">
        <f>SUM(F8:F9)/F7</f>
        <v>#DIV/0!</v>
      </c>
      <c r="H10" s="92" t="e">
        <f>SUM(H8:H9)/H7</f>
        <v>#DIV/0!</v>
      </c>
      <c r="J10" s="92" t="e">
        <f>SUM(J8:J9)/J7</f>
        <v>#DIV/0!</v>
      </c>
      <c r="L10" s="92" t="e">
        <f>SUM(L8:L9)/L7</f>
        <v>#DIV/0!</v>
      </c>
      <c r="N10" s="92">
        <f>SUM(N8:N9)/N7</f>
        <v>0.5</v>
      </c>
    </row>
  </sheetData>
  <mergeCells count="14">
    <mergeCell ref="O3:O4"/>
    <mergeCell ref="O8:O9"/>
    <mergeCell ref="I3:I4"/>
    <mergeCell ref="I8:I9"/>
    <mergeCell ref="K3:K4"/>
    <mergeCell ref="K8:K9"/>
    <mergeCell ref="M3:M4"/>
    <mergeCell ref="M8:M9"/>
    <mergeCell ref="C3:C4"/>
    <mergeCell ref="C8:C9"/>
    <mergeCell ref="E3:E4"/>
    <mergeCell ref="E8:E9"/>
    <mergeCell ref="G3:G4"/>
    <mergeCell ref="G8:G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213</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0</v>
      </c>
      <c r="C2" s="92">
        <f>B2/Kaikki!B2</f>
        <v>0</v>
      </c>
      <c r="D2">
        <v>2</v>
      </c>
      <c r="E2" s="92">
        <f>D2/Kaikki!C2</f>
        <v>5.5555555555555552E-2</v>
      </c>
      <c r="F2">
        <v>0</v>
      </c>
      <c r="G2" s="92">
        <f>F2/Kaikki!D2</f>
        <v>0</v>
      </c>
      <c r="H2">
        <v>1</v>
      </c>
      <c r="I2" s="92">
        <f>H2/Kaikki!E2</f>
        <v>9.0909090909090912E-2</v>
      </c>
      <c r="J2">
        <v>0</v>
      </c>
      <c r="K2" s="92">
        <f>J2/Kaikki!F2</f>
        <v>0</v>
      </c>
      <c r="L2">
        <v>0</v>
      </c>
      <c r="M2" s="92">
        <f>L2/Kaikki!G2</f>
        <v>0</v>
      </c>
      <c r="N2">
        <f t="shared" ref="N2:N4" si="0">SUM(B2,D2,F2,H2,J2,L2)</f>
        <v>3</v>
      </c>
      <c r="O2" s="92">
        <f>N2/Kaikki!H2</f>
        <v>4.7619047619047616E-2</v>
      </c>
    </row>
    <row r="3" spans="1:15" x14ac:dyDescent="0.2">
      <c r="A3" t="s">
        <v>190</v>
      </c>
      <c r="B3">
        <v>0</v>
      </c>
      <c r="C3" s="93">
        <f>(B3+B4)/(Kaikki!B3+Kaikki!B4)</f>
        <v>0</v>
      </c>
      <c r="D3">
        <v>2</v>
      </c>
      <c r="E3" s="93">
        <f>(D3+D4)/(Kaikki!C3+Kaikki!C4)</f>
        <v>8.3333333333333329E-2</v>
      </c>
      <c r="F3">
        <v>0</v>
      </c>
      <c r="G3" s="93" t="e">
        <f>(F3+F4)/(Kaikki!D3+Kaikki!D4)</f>
        <v>#DIV/0!</v>
      </c>
      <c r="H3">
        <v>1</v>
      </c>
      <c r="I3" s="93">
        <f>(H3+H4)/(Kaikki!E3+Kaikki!E4)</f>
        <v>0.33333333333333331</v>
      </c>
      <c r="J3">
        <v>0</v>
      </c>
      <c r="K3" s="93" t="e">
        <f>(J3+J4)/(Kaikki!F3+Kaikki!F4)</f>
        <v>#DIV/0!</v>
      </c>
      <c r="L3">
        <v>0</v>
      </c>
      <c r="M3" s="93">
        <f>(L3+L4)/(Kaikki!G3+Kaikki!G4)</f>
        <v>0</v>
      </c>
      <c r="N3">
        <f t="shared" si="0"/>
        <v>3</v>
      </c>
      <c r="O3" s="93">
        <f>(N3+N4)/(Kaikki!H3+Kaikki!H4)</f>
        <v>8.3333333333333329E-2</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t="e">
        <f>SUM(B3:B4)/B2</f>
        <v>#DIV/0!</v>
      </c>
      <c r="D5" s="92">
        <f>SUM(D3:D4)/D2</f>
        <v>1</v>
      </c>
      <c r="F5" s="92" t="e">
        <f>SUM(F3:F4)/F2</f>
        <v>#DIV/0!</v>
      </c>
      <c r="H5" s="92">
        <f>SUM(H3:H4)/H2</f>
        <v>1</v>
      </c>
      <c r="J5" s="92" t="e">
        <f>SUM(J3:J4)/J2</f>
        <v>#DIV/0!</v>
      </c>
      <c r="L5" s="92" t="e">
        <f>SUM(L3:L4)/L2</f>
        <v>#DIV/0!</v>
      </c>
      <c r="N5" s="92">
        <f>SUM(N3:N4)/N2</f>
        <v>1</v>
      </c>
    </row>
    <row r="7" spans="1:15" x14ac:dyDescent="0.2">
      <c r="A7" t="s">
        <v>197</v>
      </c>
      <c r="B7">
        <v>0</v>
      </c>
      <c r="C7" s="92">
        <f>B7/Kaikki!B2</f>
        <v>0</v>
      </c>
      <c r="D7">
        <v>1</v>
      </c>
      <c r="E7" s="92">
        <f>D7/Kaikki!C2</f>
        <v>2.7777777777777776E-2</v>
      </c>
      <c r="F7">
        <v>0</v>
      </c>
      <c r="G7" s="92">
        <f>F7/Kaikki!D2</f>
        <v>0</v>
      </c>
      <c r="H7">
        <v>3</v>
      </c>
      <c r="I7" s="92">
        <f>H7/Kaikki!E2</f>
        <v>0.27272727272727271</v>
      </c>
      <c r="J7">
        <v>0</v>
      </c>
      <c r="K7" s="92">
        <f>J7/Kaikki!F2</f>
        <v>0</v>
      </c>
      <c r="L7">
        <v>0</v>
      </c>
      <c r="M7" s="92">
        <f>L7/Kaikki!G2</f>
        <v>0</v>
      </c>
      <c r="N7">
        <f t="shared" ref="N7:N9" si="1">SUM(B7,D7,F7,H7,J7,L7)</f>
        <v>4</v>
      </c>
      <c r="O7" s="92">
        <f>N7/Kaikki!H2</f>
        <v>6.3492063492063489E-2</v>
      </c>
    </row>
    <row r="8" spans="1:15" x14ac:dyDescent="0.2">
      <c r="A8" t="s">
        <v>198</v>
      </c>
      <c r="B8">
        <v>0</v>
      </c>
      <c r="C8" s="93">
        <f>(B8+B9)/(Kaikki!B3+Kaikki!B4)</f>
        <v>0</v>
      </c>
      <c r="D8">
        <v>0</v>
      </c>
      <c r="E8" s="93">
        <f>(D8+D9)/(Kaikki!C3+Kaikki!C4)</f>
        <v>0</v>
      </c>
      <c r="F8">
        <v>0</v>
      </c>
      <c r="G8" s="93" t="e">
        <f>(F8+F9)/(Kaikki!D3+Kaikki!D4)</f>
        <v>#DIV/0!</v>
      </c>
      <c r="H8">
        <v>2</v>
      </c>
      <c r="I8" s="93">
        <f>(H8+H9)/(Kaikki!E3+Kaikki!E4)</f>
        <v>1</v>
      </c>
      <c r="J8">
        <v>0</v>
      </c>
      <c r="K8" s="93" t="e">
        <f>(J8+J9)/(Kaikki!F3+Kaikki!F4)</f>
        <v>#DIV/0!</v>
      </c>
      <c r="L8">
        <v>0</v>
      </c>
      <c r="M8" s="93">
        <f>(L8+L9)/(Kaikki!G3+Kaikki!G4)</f>
        <v>0</v>
      </c>
      <c r="N8">
        <f t="shared" si="1"/>
        <v>2</v>
      </c>
      <c r="O8" s="93">
        <f>(N8+N9)/(Kaikki!H3+Kaikki!H4)</f>
        <v>8.3333333333333329E-2</v>
      </c>
    </row>
    <row r="9" spans="1:15" x14ac:dyDescent="0.2">
      <c r="A9" t="s">
        <v>199</v>
      </c>
      <c r="B9">
        <v>0</v>
      </c>
      <c r="C9" s="93"/>
      <c r="D9">
        <v>0</v>
      </c>
      <c r="E9" s="93"/>
      <c r="F9">
        <v>0</v>
      </c>
      <c r="G9" s="93"/>
      <c r="H9">
        <v>1</v>
      </c>
      <c r="I9" s="93"/>
      <c r="J9">
        <v>0</v>
      </c>
      <c r="K9" s="93"/>
      <c r="L9">
        <v>0</v>
      </c>
      <c r="M9" s="93"/>
      <c r="N9">
        <f t="shared" si="1"/>
        <v>1</v>
      </c>
      <c r="O9" s="93"/>
    </row>
    <row r="10" spans="1:15" x14ac:dyDescent="0.2">
      <c r="A10" t="s">
        <v>196</v>
      </c>
      <c r="B10" s="92" t="e">
        <f>SUM(B8:B9)/B7</f>
        <v>#DIV/0!</v>
      </c>
      <c r="D10" s="92">
        <f>SUM(D8:D9)/D7</f>
        <v>0</v>
      </c>
      <c r="F10" s="92" t="e">
        <f>SUM(F8:F9)/F7</f>
        <v>#DIV/0!</v>
      </c>
      <c r="H10" s="92">
        <f>SUM(H8:H9)/H7</f>
        <v>1</v>
      </c>
      <c r="J10" s="92" t="e">
        <f>SUM(J8:J9)/J7</f>
        <v>#DIV/0!</v>
      </c>
      <c r="L10" s="92" t="e">
        <f>SUM(L8:L9)/L7</f>
        <v>#DIV/0!</v>
      </c>
      <c r="N10" s="92">
        <f>SUM(N8:N9)/N7</f>
        <v>0.75</v>
      </c>
    </row>
  </sheetData>
  <mergeCells count="14">
    <mergeCell ref="O3:O4"/>
    <mergeCell ref="O8:O9"/>
    <mergeCell ref="I3:I4"/>
    <mergeCell ref="I8:I9"/>
    <mergeCell ref="K3:K4"/>
    <mergeCell ref="K8:K9"/>
    <mergeCell ref="M3:M4"/>
    <mergeCell ref="M8:M9"/>
    <mergeCell ref="C3:C4"/>
    <mergeCell ref="C8:C9"/>
    <mergeCell ref="E3:E4"/>
    <mergeCell ref="E8:E9"/>
    <mergeCell ref="G3:G4"/>
    <mergeCell ref="G8:G9"/>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212</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0</v>
      </c>
      <c r="C2" s="92">
        <f>B2/Kaikki!B2</f>
        <v>0</v>
      </c>
      <c r="D2">
        <v>0</v>
      </c>
      <c r="E2" s="92">
        <f>D2/Kaikki!C2</f>
        <v>0</v>
      </c>
      <c r="F2">
        <v>0</v>
      </c>
      <c r="G2" s="92">
        <f>F2/Kaikki!D2</f>
        <v>0</v>
      </c>
      <c r="H2">
        <v>0</v>
      </c>
      <c r="I2" s="92">
        <f>H2/Kaikki!E2</f>
        <v>0</v>
      </c>
      <c r="J2">
        <v>0</v>
      </c>
      <c r="K2" s="92">
        <f>J2/Kaikki!F2</f>
        <v>0</v>
      </c>
      <c r="L2">
        <v>0</v>
      </c>
      <c r="M2" s="92">
        <f>L2/Kaikki!G2</f>
        <v>0</v>
      </c>
      <c r="N2">
        <f t="shared" ref="N2:N4" si="0">SUM(B2,D2,F2,H2,J2,L2)</f>
        <v>0</v>
      </c>
      <c r="O2" s="92">
        <f>N2/Kaikki!H2</f>
        <v>0</v>
      </c>
    </row>
    <row r="3" spans="1:15" x14ac:dyDescent="0.2">
      <c r="A3" t="s">
        <v>190</v>
      </c>
      <c r="B3">
        <v>0</v>
      </c>
      <c r="C3" s="93">
        <f>(B3+B4)/(Kaikki!B3+Kaikki!B4)</f>
        <v>0</v>
      </c>
      <c r="D3">
        <v>0</v>
      </c>
      <c r="E3" s="93">
        <f>(D3+D4)/(Kaikki!C3+Kaikki!C4)</f>
        <v>0</v>
      </c>
      <c r="F3">
        <v>0</v>
      </c>
      <c r="G3" s="93" t="e">
        <f>(F3+F4)/(Kaikki!D3+Kaikki!D4)</f>
        <v>#DIV/0!</v>
      </c>
      <c r="H3">
        <v>0</v>
      </c>
      <c r="I3" s="93">
        <f>(H3+H4)/(Kaikki!E3+Kaikki!E4)</f>
        <v>0</v>
      </c>
      <c r="J3">
        <v>0</v>
      </c>
      <c r="K3" s="93" t="e">
        <f>(J3+J4)/(Kaikki!F3+Kaikki!F4)</f>
        <v>#DIV/0!</v>
      </c>
      <c r="L3">
        <v>0</v>
      </c>
      <c r="M3" s="93">
        <f>(L3+L4)/(Kaikki!G3+Kaikki!G4)</f>
        <v>0</v>
      </c>
      <c r="N3">
        <f t="shared" si="0"/>
        <v>0</v>
      </c>
      <c r="O3" s="93">
        <f>(N3+N4)/(Kaikki!H3+Kaikki!H4)</f>
        <v>0</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t="e">
        <f>SUM(B3:B4)/B2</f>
        <v>#DIV/0!</v>
      </c>
      <c r="D5" s="92" t="e">
        <f>SUM(D3:D4)/D2</f>
        <v>#DIV/0!</v>
      </c>
      <c r="F5" s="92" t="e">
        <f>SUM(F3:F4)/F2</f>
        <v>#DIV/0!</v>
      </c>
      <c r="H5" s="92" t="e">
        <f>SUM(H3:H4)/H2</f>
        <v>#DIV/0!</v>
      </c>
      <c r="J5" s="92" t="e">
        <f>SUM(J3:J4)/J2</f>
        <v>#DIV/0!</v>
      </c>
      <c r="L5" s="92" t="e">
        <f>SUM(L3:L4)/L2</f>
        <v>#DIV/0!</v>
      </c>
      <c r="N5" s="92" t="e">
        <f>SUM(N3:N4)/N2</f>
        <v>#DIV/0!</v>
      </c>
    </row>
    <row r="7" spans="1:15" x14ac:dyDescent="0.2">
      <c r="A7" t="s">
        <v>197</v>
      </c>
      <c r="B7">
        <v>0</v>
      </c>
      <c r="C7" s="92">
        <f>B7/Kaikki!B2</f>
        <v>0</v>
      </c>
      <c r="D7">
        <v>0</v>
      </c>
      <c r="E7" s="92">
        <f>D7/Kaikki!C2</f>
        <v>0</v>
      </c>
      <c r="F7">
        <v>0</v>
      </c>
      <c r="G7" s="92">
        <f>F7/Kaikki!D2</f>
        <v>0</v>
      </c>
      <c r="H7">
        <v>0</v>
      </c>
      <c r="I7" s="92">
        <f>H7/Kaikki!E2</f>
        <v>0</v>
      </c>
      <c r="J7">
        <v>0</v>
      </c>
      <c r="K7" s="92">
        <f>J7/Kaikki!F2</f>
        <v>0</v>
      </c>
      <c r="L7">
        <v>0</v>
      </c>
      <c r="M7" s="92">
        <f>L7/Kaikki!G2</f>
        <v>0</v>
      </c>
      <c r="N7">
        <f t="shared" ref="N7:N9" si="1">SUM(B7,D7,F7,H7,J7,L7)</f>
        <v>0</v>
      </c>
      <c r="O7" s="92">
        <f>N7/Kaikki!H2</f>
        <v>0</v>
      </c>
    </row>
    <row r="8" spans="1:15" x14ac:dyDescent="0.2">
      <c r="A8" t="s">
        <v>198</v>
      </c>
      <c r="B8">
        <v>0</v>
      </c>
      <c r="C8" s="93">
        <f>(B8+B9)/(Kaikki!B3+Kaikki!B4)</f>
        <v>0</v>
      </c>
      <c r="D8">
        <v>0</v>
      </c>
      <c r="E8" s="93">
        <f>(D8+D9)/(Kaikki!C3+Kaikki!C4)</f>
        <v>0</v>
      </c>
      <c r="F8">
        <v>0</v>
      </c>
      <c r="G8" s="93" t="e">
        <f>(F8+F9)/(Kaikki!D3+Kaikki!D4)</f>
        <v>#DIV/0!</v>
      </c>
      <c r="H8">
        <v>0</v>
      </c>
      <c r="I8" s="93">
        <f>(H8+H9)/(Kaikki!E3+Kaikki!E4)</f>
        <v>0</v>
      </c>
      <c r="J8">
        <v>0</v>
      </c>
      <c r="K8" s="93" t="e">
        <f>(J8+J9)/(Kaikki!F3+Kaikki!F4)</f>
        <v>#DIV/0!</v>
      </c>
      <c r="L8">
        <v>0</v>
      </c>
      <c r="M8" s="93">
        <f>(L8+L9)/(Kaikki!G3+Kaikki!G4)</f>
        <v>0</v>
      </c>
      <c r="N8">
        <f t="shared" si="1"/>
        <v>0</v>
      </c>
      <c r="O8" s="93">
        <f>(N8+N9)/(Kaikki!H3+Kaikki!H4)</f>
        <v>0</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t="e">
        <f>SUM(B8:B9)/B7</f>
        <v>#DIV/0!</v>
      </c>
      <c r="D10" s="92" t="e">
        <f>SUM(D8:D9)/D7</f>
        <v>#DIV/0!</v>
      </c>
      <c r="F10" s="92" t="e">
        <f>SUM(F8:F9)/F7</f>
        <v>#DIV/0!</v>
      </c>
      <c r="H10" s="92" t="e">
        <f>SUM(H8:H9)/H7</f>
        <v>#DIV/0!</v>
      </c>
      <c r="J10" s="92" t="e">
        <f>SUM(J8:J9)/J7</f>
        <v>#DIV/0!</v>
      </c>
      <c r="L10" s="92" t="e">
        <f>SUM(L8:L9)/L7</f>
        <v>#DIV/0!</v>
      </c>
      <c r="N10" s="92" t="e">
        <f>SUM(N8:N9)/N7</f>
        <v>#DIV/0!</v>
      </c>
    </row>
  </sheetData>
  <mergeCells count="14">
    <mergeCell ref="O3:O4"/>
    <mergeCell ref="O8:O9"/>
    <mergeCell ref="I3:I4"/>
    <mergeCell ref="I8:I9"/>
    <mergeCell ref="K3:K4"/>
    <mergeCell ref="K8:K9"/>
    <mergeCell ref="M3:M4"/>
    <mergeCell ref="M8:M9"/>
    <mergeCell ref="C3:C4"/>
    <mergeCell ref="C8:C9"/>
    <mergeCell ref="E3:E4"/>
    <mergeCell ref="E8:E9"/>
    <mergeCell ref="G3:G4"/>
    <mergeCell ref="G8:G9"/>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211</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0</v>
      </c>
      <c r="C2" s="92">
        <f>B2/Kaikki!B2</f>
        <v>0</v>
      </c>
      <c r="D2">
        <v>7</v>
      </c>
      <c r="E2" s="92">
        <f>D2/Kaikki!C2</f>
        <v>0.19444444444444445</v>
      </c>
      <c r="F2">
        <v>0</v>
      </c>
      <c r="G2" s="92">
        <f>F2/Kaikki!D2</f>
        <v>0</v>
      </c>
      <c r="H2">
        <v>4</v>
      </c>
      <c r="I2" s="92">
        <f>H2/Kaikki!E2</f>
        <v>0.36363636363636365</v>
      </c>
      <c r="J2">
        <v>0</v>
      </c>
      <c r="K2" s="92">
        <f>J2/Kaikki!F2</f>
        <v>0</v>
      </c>
      <c r="L2">
        <v>1</v>
      </c>
      <c r="M2" s="92">
        <f>L2/Kaikki!G2</f>
        <v>0.14285714285714285</v>
      </c>
      <c r="N2">
        <f t="shared" ref="N2:N4" si="0">SUM(B2,D2,F2,H2,J2,L2)</f>
        <v>12</v>
      </c>
      <c r="O2" s="92">
        <f>N2/Kaikki!H2</f>
        <v>0.19047619047619047</v>
      </c>
    </row>
    <row r="3" spans="1:15" x14ac:dyDescent="0.2">
      <c r="A3" t="s">
        <v>190</v>
      </c>
      <c r="B3">
        <v>0</v>
      </c>
      <c r="C3" s="93">
        <f>(B3+B4)/(Kaikki!B3+Kaikki!B4)</f>
        <v>0</v>
      </c>
      <c r="D3">
        <v>4</v>
      </c>
      <c r="E3" s="93">
        <f>(D3+D4)/(Kaikki!C3+Kaikki!C4)</f>
        <v>0.16666666666666666</v>
      </c>
      <c r="F3">
        <v>0</v>
      </c>
      <c r="G3" s="93" t="e">
        <f>(F3+F4)/(Kaikki!D3+Kaikki!D4)</f>
        <v>#DIV/0!</v>
      </c>
      <c r="H3">
        <v>0</v>
      </c>
      <c r="I3" s="93">
        <f>(H3+H4)/(Kaikki!E3+Kaikki!E4)</f>
        <v>0</v>
      </c>
      <c r="J3">
        <v>0</v>
      </c>
      <c r="K3" s="93" t="e">
        <f>(J3+J4)/(Kaikki!F3+Kaikki!F4)</f>
        <v>#DIV/0!</v>
      </c>
      <c r="L3">
        <v>1</v>
      </c>
      <c r="M3" s="93">
        <f>(L3+L4)/(Kaikki!G3+Kaikki!G4)</f>
        <v>0.2</v>
      </c>
      <c r="N3">
        <f t="shared" si="0"/>
        <v>5</v>
      </c>
      <c r="O3" s="93">
        <f>(N3+N4)/(Kaikki!H3+Kaikki!H4)</f>
        <v>0.1388888888888889</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t="e">
        <f>SUM(B3:B4)/B2</f>
        <v>#DIV/0!</v>
      </c>
      <c r="D5" s="92">
        <f>SUM(D3:D4)/D2</f>
        <v>0.5714285714285714</v>
      </c>
      <c r="F5" s="92" t="e">
        <f>SUM(F3:F4)/F2</f>
        <v>#DIV/0!</v>
      </c>
      <c r="H5" s="92">
        <f>SUM(H3:H4)/H2</f>
        <v>0</v>
      </c>
      <c r="J5" s="92" t="e">
        <f>SUM(J3:J4)/J2</f>
        <v>#DIV/0!</v>
      </c>
      <c r="L5" s="92">
        <f>SUM(L3:L4)/L2</f>
        <v>1</v>
      </c>
      <c r="N5" s="92">
        <f>SUM(N3:N4)/N2</f>
        <v>0.41666666666666669</v>
      </c>
    </row>
    <row r="7" spans="1:15" x14ac:dyDescent="0.2">
      <c r="A7" t="s">
        <v>197</v>
      </c>
      <c r="B7">
        <v>0</v>
      </c>
      <c r="C7" s="92">
        <f>B7/Kaikki!B2</f>
        <v>0</v>
      </c>
      <c r="D7">
        <v>5</v>
      </c>
      <c r="E7" s="92">
        <f>D7/Kaikki!C2</f>
        <v>0.1388888888888889</v>
      </c>
      <c r="F7">
        <v>0</v>
      </c>
      <c r="G7" s="92">
        <f>F7/Kaikki!D2</f>
        <v>0</v>
      </c>
      <c r="H7">
        <v>4</v>
      </c>
      <c r="I7" s="92">
        <f>H7/Kaikki!E2</f>
        <v>0.36363636363636365</v>
      </c>
      <c r="J7">
        <v>0</v>
      </c>
      <c r="K7" s="92">
        <f>J7/Kaikki!F2</f>
        <v>0</v>
      </c>
      <c r="L7">
        <v>1</v>
      </c>
      <c r="M7" s="92">
        <f>L7/Kaikki!G2</f>
        <v>0.14285714285714285</v>
      </c>
      <c r="N7">
        <f t="shared" ref="N7:N9" si="1">SUM(B7,D7,F7,H7,J7,L7)</f>
        <v>10</v>
      </c>
      <c r="O7" s="92">
        <f>N7/Kaikki!H2</f>
        <v>0.15873015873015872</v>
      </c>
    </row>
    <row r="8" spans="1:15" x14ac:dyDescent="0.2">
      <c r="A8" t="s">
        <v>198</v>
      </c>
      <c r="B8">
        <v>0</v>
      </c>
      <c r="C8" s="93">
        <f>(B8+B9)/(Kaikki!B3+Kaikki!B4)</f>
        <v>0</v>
      </c>
      <c r="D8">
        <v>5</v>
      </c>
      <c r="E8" s="93">
        <f>(D8+D9)/(Kaikki!C3+Kaikki!C4)</f>
        <v>0.20833333333333334</v>
      </c>
      <c r="F8">
        <v>0</v>
      </c>
      <c r="G8" s="93" t="e">
        <f>(F8+F9)/(Kaikki!D3+Kaikki!D4)</f>
        <v>#DIV/0!</v>
      </c>
      <c r="H8">
        <v>0</v>
      </c>
      <c r="I8" s="93">
        <f>(H8+H9)/(Kaikki!E3+Kaikki!E4)</f>
        <v>0</v>
      </c>
      <c r="J8">
        <v>0</v>
      </c>
      <c r="K8" s="93" t="e">
        <f>(J8+J9)/(Kaikki!F3+Kaikki!F4)</f>
        <v>#DIV/0!</v>
      </c>
      <c r="L8">
        <v>1</v>
      </c>
      <c r="M8" s="93">
        <f>(L8+L9)/(Kaikki!G3+Kaikki!G4)</f>
        <v>0.2</v>
      </c>
      <c r="N8">
        <f t="shared" si="1"/>
        <v>6</v>
      </c>
      <c r="O8" s="93">
        <f>(N8+N9)/(Kaikki!H3+Kaikki!H4)</f>
        <v>0.16666666666666666</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t="e">
        <f>SUM(B8:B9)/B7</f>
        <v>#DIV/0!</v>
      </c>
      <c r="D10" s="92">
        <f>SUM(D8:D9)/D7</f>
        <v>1</v>
      </c>
      <c r="F10" s="92" t="e">
        <f>SUM(F8:F9)/F7</f>
        <v>#DIV/0!</v>
      </c>
      <c r="H10" s="92">
        <f>SUM(H8:H9)/H7</f>
        <v>0</v>
      </c>
      <c r="J10" s="92" t="e">
        <f>SUM(J8:J9)/J7</f>
        <v>#DIV/0!</v>
      </c>
      <c r="L10" s="92">
        <f>SUM(L8:L9)/L7</f>
        <v>1</v>
      </c>
      <c r="N10" s="92">
        <f>SUM(N8:N9)/N7</f>
        <v>0.6</v>
      </c>
    </row>
  </sheetData>
  <mergeCells count="14">
    <mergeCell ref="O3:O4"/>
    <mergeCell ref="O8:O9"/>
    <mergeCell ref="I3:I4"/>
    <mergeCell ref="I8:I9"/>
    <mergeCell ref="K3:K4"/>
    <mergeCell ref="K8:K9"/>
    <mergeCell ref="M3:M4"/>
    <mergeCell ref="M8:M9"/>
    <mergeCell ref="C3:C4"/>
    <mergeCell ref="C8:C9"/>
    <mergeCell ref="E3:E4"/>
    <mergeCell ref="E8:E9"/>
    <mergeCell ref="G3:G4"/>
    <mergeCell ref="G8:G9"/>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210</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1</v>
      </c>
      <c r="C2" s="92">
        <f>B2/Kaikki!B2</f>
        <v>0.16666666666666666</v>
      </c>
      <c r="D2">
        <v>4</v>
      </c>
      <c r="E2" s="92">
        <f>D2/Kaikki!C2</f>
        <v>0.1111111111111111</v>
      </c>
      <c r="F2">
        <v>0</v>
      </c>
      <c r="G2" s="92">
        <f>F2/Kaikki!D2</f>
        <v>0</v>
      </c>
      <c r="H2">
        <v>0</v>
      </c>
      <c r="I2" s="92">
        <f>H2/Kaikki!E2</f>
        <v>0</v>
      </c>
      <c r="J2">
        <v>0</v>
      </c>
      <c r="K2" s="92">
        <f>J2/Kaikki!F2</f>
        <v>0</v>
      </c>
      <c r="L2">
        <v>2</v>
      </c>
      <c r="M2" s="92">
        <f>L2/Kaikki!G2</f>
        <v>0.2857142857142857</v>
      </c>
      <c r="N2">
        <f t="shared" ref="N2:N4" si="0">SUM(B2,D2,F2,H2,J2,L2)</f>
        <v>7</v>
      </c>
      <c r="O2" s="92">
        <f>N2/Kaikki!H2</f>
        <v>0.1111111111111111</v>
      </c>
    </row>
    <row r="3" spans="1:15" x14ac:dyDescent="0.2">
      <c r="A3" t="s">
        <v>190</v>
      </c>
      <c r="B3">
        <v>0</v>
      </c>
      <c r="C3" s="93">
        <f>(B3+B4)/(Kaikki!B3+Kaikki!B4)</f>
        <v>0</v>
      </c>
      <c r="D3">
        <v>4</v>
      </c>
      <c r="E3" s="93">
        <f>(D3+D4)/(Kaikki!C3+Kaikki!C4)</f>
        <v>0.16666666666666666</v>
      </c>
      <c r="F3">
        <v>0</v>
      </c>
      <c r="G3" s="93" t="e">
        <f>(F3+F4)/(Kaikki!D3+Kaikki!D4)</f>
        <v>#DIV/0!</v>
      </c>
      <c r="H3">
        <v>0</v>
      </c>
      <c r="I3" s="93">
        <f>(H3+H4)/(Kaikki!E3+Kaikki!E4)</f>
        <v>0</v>
      </c>
      <c r="J3">
        <v>0</v>
      </c>
      <c r="K3" s="93" t="e">
        <f>(J3+J4)/(Kaikki!F3+Kaikki!F4)</f>
        <v>#DIV/0!</v>
      </c>
      <c r="L3">
        <v>1</v>
      </c>
      <c r="M3" s="93">
        <f>(L3+L4)/(Kaikki!G3+Kaikki!G4)</f>
        <v>0.2</v>
      </c>
      <c r="N3">
        <f t="shared" si="0"/>
        <v>5</v>
      </c>
      <c r="O3" s="93">
        <f>(N3+N4)/(Kaikki!H3+Kaikki!H4)</f>
        <v>0.1388888888888889</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f>SUM(B3:B4)/B2</f>
        <v>0</v>
      </c>
      <c r="D5" s="92">
        <f>SUM(D3:D4)/D2</f>
        <v>1</v>
      </c>
      <c r="F5" s="92" t="e">
        <f>SUM(F3:F4)/F2</f>
        <v>#DIV/0!</v>
      </c>
      <c r="H5" s="92" t="e">
        <f>SUM(H3:H4)/H2</f>
        <v>#DIV/0!</v>
      </c>
      <c r="J5" s="92" t="e">
        <f>SUM(J3:J4)/J2</f>
        <v>#DIV/0!</v>
      </c>
      <c r="L5" s="92">
        <f>SUM(L3:L4)/L2</f>
        <v>0.5</v>
      </c>
      <c r="N5" s="92">
        <f>SUM(N3:N4)/N2</f>
        <v>0.7142857142857143</v>
      </c>
    </row>
    <row r="7" spans="1:15" x14ac:dyDescent="0.2">
      <c r="A7" t="s">
        <v>197</v>
      </c>
      <c r="B7">
        <v>1</v>
      </c>
      <c r="C7" s="92">
        <f>B7/Kaikki!B2</f>
        <v>0.16666666666666666</v>
      </c>
      <c r="D7">
        <v>5</v>
      </c>
      <c r="E7" s="92">
        <f>D7/Kaikki!C2</f>
        <v>0.1388888888888889</v>
      </c>
      <c r="F7">
        <v>0</v>
      </c>
      <c r="G7" s="92">
        <f>F7/Kaikki!D2</f>
        <v>0</v>
      </c>
      <c r="H7">
        <v>0</v>
      </c>
      <c r="I7" s="92">
        <f>H7/Kaikki!E2</f>
        <v>0</v>
      </c>
      <c r="J7">
        <v>0</v>
      </c>
      <c r="K7" s="92">
        <f>J7/Kaikki!F2</f>
        <v>0</v>
      </c>
      <c r="L7">
        <v>2</v>
      </c>
      <c r="M7" s="92">
        <f>L7/Kaikki!G2</f>
        <v>0.2857142857142857</v>
      </c>
      <c r="N7">
        <f t="shared" ref="N7:N9" si="1">SUM(B7,D7,F7,H7,J7,L7)</f>
        <v>8</v>
      </c>
      <c r="O7" s="92">
        <f>N7/Kaikki!H2</f>
        <v>0.12698412698412698</v>
      </c>
    </row>
    <row r="8" spans="1:15" x14ac:dyDescent="0.2">
      <c r="A8" t="s">
        <v>198</v>
      </c>
      <c r="B8">
        <v>1</v>
      </c>
      <c r="C8" s="93">
        <f>(B8+B9)/(Kaikki!B3+Kaikki!B4)</f>
        <v>0.25</v>
      </c>
      <c r="D8">
        <v>4</v>
      </c>
      <c r="E8" s="93">
        <f>(D8+D9)/(Kaikki!C3+Kaikki!C4)</f>
        <v>0.16666666666666666</v>
      </c>
      <c r="F8">
        <v>0</v>
      </c>
      <c r="G8" s="93" t="e">
        <f>(F8+F9)/(Kaikki!D3+Kaikki!D4)</f>
        <v>#DIV/0!</v>
      </c>
      <c r="H8">
        <v>0</v>
      </c>
      <c r="I8" s="93">
        <f>(H8+H9)/(Kaikki!E3+Kaikki!E4)</f>
        <v>0</v>
      </c>
      <c r="J8">
        <v>0</v>
      </c>
      <c r="K8" s="93" t="e">
        <f>(J8+J9)/(Kaikki!F3+Kaikki!F4)</f>
        <v>#DIV/0!</v>
      </c>
      <c r="L8">
        <v>1</v>
      </c>
      <c r="M8" s="93">
        <f>(L8+L9)/(Kaikki!G3+Kaikki!G4)</f>
        <v>0.2</v>
      </c>
      <c r="N8">
        <f t="shared" si="1"/>
        <v>6</v>
      </c>
      <c r="O8" s="93">
        <f>(N8+N9)/(Kaikki!H3+Kaikki!H4)</f>
        <v>0.16666666666666666</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f>SUM(B8:B9)/B7</f>
        <v>1</v>
      </c>
      <c r="D10" s="92">
        <f>SUM(D8:D9)/D7</f>
        <v>0.8</v>
      </c>
      <c r="F10" s="92" t="e">
        <f>SUM(F8:F9)/F7</f>
        <v>#DIV/0!</v>
      </c>
      <c r="H10" s="92" t="e">
        <f>SUM(H8:H9)/H7</f>
        <v>#DIV/0!</v>
      </c>
      <c r="J10" s="92" t="e">
        <f>SUM(J8:J9)/J7</f>
        <v>#DIV/0!</v>
      </c>
      <c r="L10" s="92">
        <f>SUM(L8:L9)/L7</f>
        <v>0.5</v>
      </c>
      <c r="N10" s="92">
        <f>SUM(N8:N9)/N7</f>
        <v>0.75</v>
      </c>
    </row>
  </sheetData>
  <mergeCells count="14">
    <mergeCell ref="O3:O4"/>
    <mergeCell ref="O8:O9"/>
    <mergeCell ref="I3:I4"/>
    <mergeCell ref="I8:I9"/>
    <mergeCell ref="K3:K4"/>
    <mergeCell ref="K8:K9"/>
    <mergeCell ref="M3:M4"/>
    <mergeCell ref="M8:M9"/>
    <mergeCell ref="C3:C4"/>
    <mergeCell ref="C8:C9"/>
    <mergeCell ref="E3:E4"/>
    <mergeCell ref="E8:E9"/>
    <mergeCell ref="G3:G4"/>
    <mergeCell ref="G8:G9"/>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209</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0</v>
      </c>
      <c r="C2" s="92">
        <f>B2/Kaikki!B2</f>
        <v>0</v>
      </c>
      <c r="D2">
        <v>1</v>
      </c>
      <c r="E2" s="92">
        <f>D2/Kaikki!C2</f>
        <v>2.7777777777777776E-2</v>
      </c>
      <c r="F2">
        <v>0</v>
      </c>
      <c r="G2" s="92">
        <f>F2/Kaikki!D2</f>
        <v>0</v>
      </c>
      <c r="H2">
        <v>0</v>
      </c>
      <c r="I2" s="92">
        <f>H2/Kaikki!E2</f>
        <v>0</v>
      </c>
      <c r="J2">
        <v>0</v>
      </c>
      <c r="K2" s="92">
        <f>J2/Kaikki!F2</f>
        <v>0</v>
      </c>
      <c r="L2">
        <v>0</v>
      </c>
      <c r="M2" s="92">
        <f>L2/Kaikki!G2</f>
        <v>0</v>
      </c>
      <c r="N2">
        <f t="shared" ref="N2:N4" si="0">SUM(B2,D2,F2,H2,J2,L2)</f>
        <v>1</v>
      </c>
      <c r="O2" s="92">
        <f>N2/Kaikki!H2</f>
        <v>1.5873015873015872E-2</v>
      </c>
    </row>
    <row r="3" spans="1:15" x14ac:dyDescent="0.2">
      <c r="A3" t="s">
        <v>190</v>
      </c>
      <c r="B3">
        <v>0</v>
      </c>
      <c r="C3" s="93">
        <f>(B3+B4)/(Kaikki!B3+Kaikki!B4)</f>
        <v>0</v>
      </c>
      <c r="D3">
        <v>0</v>
      </c>
      <c r="E3" s="93">
        <f>(D3+D4)/(Kaikki!C3+Kaikki!C4)</f>
        <v>0</v>
      </c>
      <c r="F3">
        <v>0</v>
      </c>
      <c r="G3" s="93" t="e">
        <f>(F3+F4)/(Kaikki!D3+Kaikki!D4)</f>
        <v>#DIV/0!</v>
      </c>
      <c r="H3">
        <v>0</v>
      </c>
      <c r="I3" s="93">
        <f>(H3+H4)/(Kaikki!E3+Kaikki!E4)</f>
        <v>0</v>
      </c>
      <c r="J3">
        <v>0</v>
      </c>
      <c r="K3" s="93" t="e">
        <f>(J3+J4)/(Kaikki!F3+Kaikki!F4)</f>
        <v>#DIV/0!</v>
      </c>
      <c r="L3">
        <v>0</v>
      </c>
      <c r="M3" s="93">
        <f>(L3+L4)/(Kaikki!G3+Kaikki!G4)</f>
        <v>0</v>
      </c>
      <c r="N3">
        <f t="shared" si="0"/>
        <v>0</v>
      </c>
      <c r="O3" s="93">
        <f>(N3+N4)/(Kaikki!H3+Kaikki!H4)</f>
        <v>0</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t="e">
        <f>SUM(B3:B4)/B2</f>
        <v>#DIV/0!</v>
      </c>
      <c r="D5" s="92">
        <f>SUM(D3:D4)/D2</f>
        <v>0</v>
      </c>
      <c r="F5" s="92" t="e">
        <f>SUM(F3:F4)/F2</f>
        <v>#DIV/0!</v>
      </c>
      <c r="H5" s="92" t="e">
        <f>SUM(H3:H4)/H2</f>
        <v>#DIV/0!</v>
      </c>
      <c r="J5" s="92" t="e">
        <f>SUM(J3:J4)/J2</f>
        <v>#DIV/0!</v>
      </c>
      <c r="L5" s="92" t="e">
        <f>SUM(L3:L4)/L2</f>
        <v>#DIV/0!</v>
      </c>
      <c r="N5" s="92">
        <f>SUM(N3:N4)/N2</f>
        <v>0</v>
      </c>
    </row>
    <row r="7" spans="1:15" x14ac:dyDescent="0.2">
      <c r="A7" t="s">
        <v>197</v>
      </c>
      <c r="B7">
        <v>0</v>
      </c>
      <c r="C7" s="92">
        <f>B7/Kaikki!B2</f>
        <v>0</v>
      </c>
      <c r="D7">
        <v>1</v>
      </c>
      <c r="E7" s="92">
        <f>D7/Kaikki!C2</f>
        <v>2.7777777777777776E-2</v>
      </c>
      <c r="F7">
        <v>0</v>
      </c>
      <c r="G7" s="92">
        <f>F7/Kaikki!D2</f>
        <v>0</v>
      </c>
      <c r="H7">
        <v>0</v>
      </c>
      <c r="I7" s="92">
        <f>H7/Kaikki!E2</f>
        <v>0</v>
      </c>
      <c r="J7">
        <v>0</v>
      </c>
      <c r="K7" s="92">
        <f>J7/Kaikki!F2</f>
        <v>0</v>
      </c>
      <c r="L7">
        <v>0</v>
      </c>
      <c r="M7" s="92">
        <f>L7/Kaikki!G2</f>
        <v>0</v>
      </c>
      <c r="N7">
        <f t="shared" ref="N7:N9" si="1">SUM(B7,D7,F7,H7,J7,L7)</f>
        <v>1</v>
      </c>
      <c r="O7" s="92">
        <f>N7/Kaikki!H2</f>
        <v>1.5873015873015872E-2</v>
      </c>
    </row>
    <row r="8" spans="1:15" x14ac:dyDescent="0.2">
      <c r="A8" t="s">
        <v>198</v>
      </c>
      <c r="B8">
        <v>0</v>
      </c>
      <c r="C8" s="93">
        <f>(B8+B9)/(Kaikki!B3+Kaikki!B4)</f>
        <v>0</v>
      </c>
      <c r="D8">
        <v>0</v>
      </c>
      <c r="E8" s="93">
        <f>(D8+D9)/(Kaikki!C3+Kaikki!C4)</f>
        <v>0</v>
      </c>
      <c r="F8">
        <v>0</v>
      </c>
      <c r="G8" s="93" t="e">
        <f>(F8+F9)/(Kaikki!D3+Kaikki!D4)</f>
        <v>#DIV/0!</v>
      </c>
      <c r="H8">
        <v>0</v>
      </c>
      <c r="I8" s="93">
        <f>(H8+H9)/(Kaikki!E3+Kaikki!E4)</f>
        <v>0</v>
      </c>
      <c r="J8">
        <v>0</v>
      </c>
      <c r="K8" s="93" t="e">
        <f>(J8+J9)/(Kaikki!F3+Kaikki!F4)</f>
        <v>#DIV/0!</v>
      </c>
      <c r="L8">
        <v>0</v>
      </c>
      <c r="M8" s="93">
        <f>(L8+L9)/(Kaikki!G3+Kaikki!G4)</f>
        <v>0</v>
      </c>
      <c r="N8">
        <f t="shared" si="1"/>
        <v>0</v>
      </c>
      <c r="O8" s="93">
        <f>(N8+N9)/(Kaikki!H3+Kaikki!H4)</f>
        <v>0</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t="e">
        <f>SUM(B8:B9)/B7</f>
        <v>#DIV/0!</v>
      </c>
      <c r="D10" s="92">
        <f>SUM(D8:D9)/D7</f>
        <v>0</v>
      </c>
      <c r="F10" s="92" t="e">
        <f>SUM(F8:F9)/F7</f>
        <v>#DIV/0!</v>
      </c>
      <c r="H10" s="92" t="e">
        <f>SUM(H8:H9)/H7</f>
        <v>#DIV/0!</v>
      </c>
      <c r="J10" s="92" t="e">
        <f>SUM(J8:J9)/J7</f>
        <v>#DIV/0!</v>
      </c>
      <c r="L10" s="92" t="e">
        <f>SUM(L8:L9)/L7</f>
        <v>#DIV/0!</v>
      </c>
      <c r="N10" s="92">
        <f>SUM(N8:N9)/N7</f>
        <v>0</v>
      </c>
    </row>
  </sheetData>
  <mergeCells count="14">
    <mergeCell ref="O3:O4"/>
    <mergeCell ref="O8:O9"/>
    <mergeCell ref="I3:I4"/>
    <mergeCell ref="I8:I9"/>
    <mergeCell ref="K3:K4"/>
    <mergeCell ref="K8:K9"/>
    <mergeCell ref="M3:M4"/>
    <mergeCell ref="M8:M9"/>
    <mergeCell ref="C3:C4"/>
    <mergeCell ref="C8:C9"/>
    <mergeCell ref="E3:E4"/>
    <mergeCell ref="E8:E9"/>
    <mergeCell ref="G3:G4"/>
    <mergeCell ref="G8:G9"/>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208</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0</v>
      </c>
      <c r="C2" s="92">
        <f>B2/Kaikki!B2</f>
        <v>0</v>
      </c>
      <c r="D2">
        <v>0</v>
      </c>
      <c r="E2" s="92">
        <f>D2/Kaikki!C2</f>
        <v>0</v>
      </c>
      <c r="F2">
        <v>0</v>
      </c>
      <c r="G2" s="92">
        <f>F2/Kaikki!D2</f>
        <v>0</v>
      </c>
      <c r="H2">
        <v>0</v>
      </c>
      <c r="I2" s="92">
        <f>H2/Kaikki!E2</f>
        <v>0</v>
      </c>
      <c r="J2">
        <v>0</v>
      </c>
      <c r="K2" s="92">
        <f>J2/Kaikki!F2</f>
        <v>0</v>
      </c>
      <c r="L2">
        <v>0</v>
      </c>
      <c r="M2" s="92">
        <f>L2/Kaikki!G2</f>
        <v>0</v>
      </c>
      <c r="N2">
        <f t="shared" ref="N2:N4" si="0">SUM(B2,D2,F2,H2,J2,L2)</f>
        <v>0</v>
      </c>
      <c r="O2" s="92">
        <f>N2/Kaikki!H2</f>
        <v>0</v>
      </c>
    </row>
    <row r="3" spans="1:15" x14ac:dyDescent="0.2">
      <c r="A3" t="s">
        <v>190</v>
      </c>
      <c r="B3">
        <v>0</v>
      </c>
      <c r="C3" s="93">
        <f>(B3+B4)/(Kaikki!B3+Kaikki!B4)</f>
        <v>0</v>
      </c>
      <c r="D3">
        <v>0</v>
      </c>
      <c r="E3" s="93">
        <f>(D3+D4)/(Kaikki!C3+Kaikki!C4)</f>
        <v>0</v>
      </c>
      <c r="F3">
        <v>0</v>
      </c>
      <c r="G3" s="93" t="e">
        <f>(F3+F4)/(Kaikki!D3+Kaikki!D4)</f>
        <v>#DIV/0!</v>
      </c>
      <c r="H3">
        <v>0</v>
      </c>
      <c r="I3" s="93">
        <f>(H3+H4)/(Kaikki!E3+Kaikki!E4)</f>
        <v>0</v>
      </c>
      <c r="J3">
        <v>0</v>
      </c>
      <c r="K3" s="93" t="e">
        <f>(J3+J4)/(Kaikki!F3+Kaikki!F4)</f>
        <v>#DIV/0!</v>
      </c>
      <c r="L3">
        <v>0</v>
      </c>
      <c r="M3" s="93">
        <f>(L3+L4)/(Kaikki!G3+Kaikki!G4)</f>
        <v>0</v>
      </c>
      <c r="N3">
        <f t="shared" si="0"/>
        <v>0</v>
      </c>
      <c r="O3" s="93">
        <f>(N3+N4)/(Kaikki!H3+Kaikki!H4)</f>
        <v>0</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t="e">
        <f>SUM(B3:B4)/B2</f>
        <v>#DIV/0!</v>
      </c>
      <c r="D5" s="92" t="e">
        <f>SUM(D3:D4)/D2</f>
        <v>#DIV/0!</v>
      </c>
      <c r="F5" s="92" t="e">
        <f>SUM(F3:F4)/F2</f>
        <v>#DIV/0!</v>
      </c>
      <c r="H5" s="92" t="e">
        <f>SUM(H3:H4)/H2</f>
        <v>#DIV/0!</v>
      </c>
      <c r="J5" s="92" t="e">
        <f>SUM(J3:J4)/J2</f>
        <v>#DIV/0!</v>
      </c>
      <c r="L5" s="92" t="e">
        <f>SUM(L3:L4)/L2</f>
        <v>#DIV/0!</v>
      </c>
      <c r="N5" s="92" t="e">
        <f>SUM(N3:N4)/N2</f>
        <v>#DIV/0!</v>
      </c>
    </row>
    <row r="7" spans="1:15" x14ac:dyDescent="0.2">
      <c r="A7" t="s">
        <v>197</v>
      </c>
      <c r="B7">
        <v>0</v>
      </c>
      <c r="C7" s="92">
        <f>B7/Kaikki!B2</f>
        <v>0</v>
      </c>
      <c r="D7">
        <v>0</v>
      </c>
      <c r="E7" s="92">
        <f>D7/Kaikki!C2</f>
        <v>0</v>
      </c>
      <c r="F7">
        <v>0</v>
      </c>
      <c r="G7" s="92">
        <f>F7/Kaikki!D2</f>
        <v>0</v>
      </c>
      <c r="H7">
        <v>0</v>
      </c>
      <c r="I7" s="92">
        <f>H7/Kaikki!E2</f>
        <v>0</v>
      </c>
      <c r="J7">
        <v>0</v>
      </c>
      <c r="K7" s="92">
        <f>J7/Kaikki!F2</f>
        <v>0</v>
      </c>
      <c r="L7">
        <v>0</v>
      </c>
      <c r="M7" s="92">
        <f>L7/Kaikki!G2</f>
        <v>0</v>
      </c>
      <c r="N7">
        <f t="shared" ref="N7:N9" si="1">SUM(B7,D7,F7,H7,J7,L7)</f>
        <v>0</v>
      </c>
      <c r="O7" s="92">
        <f>N7/Kaikki!H2</f>
        <v>0</v>
      </c>
    </row>
    <row r="8" spans="1:15" x14ac:dyDescent="0.2">
      <c r="A8" t="s">
        <v>198</v>
      </c>
      <c r="B8">
        <v>0</v>
      </c>
      <c r="C8" s="93">
        <f>(B8+B9)/(Kaikki!B3+Kaikki!B4)</f>
        <v>0</v>
      </c>
      <c r="D8">
        <v>0</v>
      </c>
      <c r="E8" s="93">
        <f>(D8+D9)/(Kaikki!C3+Kaikki!C4)</f>
        <v>0</v>
      </c>
      <c r="F8">
        <v>0</v>
      </c>
      <c r="G8" s="93" t="e">
        <f>(F8+F9)/(Kaikki!D3+Kaikki!D4)</f>
        <v>#DIV/0!</v>
      </c>
      <c r="H8">
        <v>0</v>
      </c>
      <c r="I8" s="93">
        <f>(H8+H9)/(Kaikki!E3+Kaikki!E4)</f>
        <v>0</v>
      </c>
      <c r="J8">
        <v>0</v>
      </c>
      <c r="K8" s="93" t="e">
        <f>(J8+J9)/(Kaikki!F3+Kaikki!F4)</f>
        <v>#DIV/0!</v>
      </c>
      <c r="L8">
        <v>0</v>
      </c>
      <c r="M8" s="93">
        <f>(L8+L9)/(Kaikki!G3+Kaikki!G4)</f>
        <v>0</v>
      </c>
      <c r="N8">
        <f t="shared" si="1"/>
        <v>0</v>
      </c>
      <c r="O8" s="93">
        <f>(N8+N9)/(Kaikki!H3+Kaikki!H4)</f>
        <v>0</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t="e">
        <f>SUM(B8:B9)/B7</f>
        <v>#DIV/0!</v>
      </c>
      <c r="D10" s="92" t="e">
        <f>SUM(D8:D9)/D7</f>
        <v>#DIV/0!</v>
      </c>
      <c r="F10" s="92" t="e">
        <f>SUM(F8:F9)/F7</f>
        <v>#DIV/0!</v>
      </c>
      <c r="H10" s="92" t="e">
        <f>SUM(H8:H9)/H7</f>
        <v>#DIV/0!</v>
      </c>
      <c r="J10" s="92" t="e">
        <f>SUM(J8:J9)/J7</f>
        <v>#DIV/0!</v>
      </c>
      <c r="L10" s="92" t="e">
        <f>SUM(L8:L9)/L7</f>
        <v>#DIV/0!</v>
      </c>
      <c r="N10" s="92" t="e">
        <f>SUM(N8:N9)/N7</f>
        <v>#DIV/0!</v>
      </c>
    </row>
  </sheetData>
  <mergeCells count="14">
    <mergeCell ref="O3:O4"/>
    <mergeCell ref="O8:O9"/>
    <mergeCell ref="I3:I4"/>
    <mergeCell ref="I8:I9"/>
    <mergeCell ref="K3:K4"/>
    <mergeCell ref="K8:K9"/>
    <mergeCell ref="M3:M4"/>
    <mergeCell ref="M8:M9"/>
    <mergeCell ref="C3:C4"/>
    <mergeCell ref="C8:C9"/>
    <mergeCell ref="E3:E4"/>
    <mergeCell ref="E8:E9"/>
    <mergeCell ref="G3:G4"/>
    <mergeCell ref="G8:G9"/>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207</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3</v>
      </c>
      <c r="C2" s="92">
        <f>B2/Kaikki!B2</f>
        <v>0.5</v>
      </c>
      <c r="D2">
        <v>3</v>
      </c>
      <c r="E2" s="92">
        <f>D2/Kaikki!C2</f>
        <v>8.3333333333333329E-2</v>
      </c>
      <c r="F2">
        <v>0</v>
      </c>
      <c r="G2" s="92">
        <f>F2/Kaikki!D2</f>
        <v>0</v>
      </c>
      <c r="H2">
        <v>4</v>
      </c>
      <c r="I2" s="92">
        <f>H2/Kaikki!E2</f>
        <v>0.36363636363636365</v>
      </c>
      <c r="J2">
        <v>0</v>
      </c>
      <c r="K2" s="92">
        <f>J2/Kaikki!F2</f>
        <v>0</v>
      </c>
      <c r="L2">
        <v>0</v>
      </c>
      <c r="M2" s="92">
        <f>L2/Kaikki!G2</f>
        <v>0</v>
      </c>
      <c r="N2">
        <f t="shared" ref="N2:N4" si="0">SUM(B2,D2,F2,H2,J2,L2)</f>
        <v>10</v>
      </c>
      <c r="O2" s="92">
        <f>N2/Kaikki!H2</f>
        <v>0.15873015873015872</v>
      </c>
    </row>
    <row r="3" spans="1:15" x14ac:dyDescent="0.2">
      <c r="A3" t="s">
        <v>190</v>
      </c>
      <c r="B3">
        <v>0</v>
      </c>
      <c r="C3" s="93">
        <f>(B3+B4)/(Kaikki!B3+Kaikki!B4)</f>
        <v>0.5</v>
      </c>
      <c r="D3">
        <v>2</v>
      </c>
      <c r="E3" s="93">
        <f>(D3+D4)/(Kaikki!C3+Kaikki!C4)</f>
        <v>8.3333333333333329E-2</v>
      </c>
      <c r="F3">
        <v>0</v>
      </c>
      <c r="G3" s="93" t="e">
        <f>(F3+F4)/(Kaikki!D3+Kaikki!D4)</f>
        <v>#DIV/0!</v>
      </c>
      <c r="H3">
        <v>1</v>
      </c>
      <c r="I3" s="93">
        <f>(H3+H4)/(Kaikki!E3+Kaikki!E4)</f>
        <v>0.33333333333333331</v>
      </c>
      <c r="J3">
        <v>0</v>
      </c>
      <c r="K3" s="93" t="e">
        <f>(J3+J4)/(Kaikki!F3+Kaikki!F4)</f>
        <v>#DIV/0!</v>
      </c>
      <c r="L3">
        <v>0</v>
      </c>
      <c r="M3" s="93">
        <f>(L3+L4)/(Kaikki!G3+Kaikki!G4)</f>
        <v>0</v>
      </c>
      <c r="N3">
        <f t="shared" si="0"/>
        <v>3</v>
      </c>
      <c r="O3" s="93">
        <f>(N3+N4)/(Kaikki!H3+Kaikki!H4)</f>
        <v>0.1388888888888889</v>
      </c>
    </row>
    <row r="4" spans="1:15" x14ac:dyDescent="0.2">
      <c r="A4" t="s">
        <v>191</v>
      </c>
      <c r="B4">
        <v>2</v>
      </c>
      <c r="C4" s="93"/>
      <c r="D4">
        <v>0</v>
      </c>
      <c r="E4" s="93"/>
      <c r="F4">
        <v>0</v>
      </c>
      <c r="G4" s="93"/>
      <c r="H4">
        <v>0</v>
      </c>
      <c r="I4" s="93"/>
      <c r="J4">
        <v>0</v>
      </c>
      <c r="K4" s="93"/>
      <c r="L4">
        <v>0</v>
      </c>
      <c r="M4" s="93"/>
      <c r="N4">
        <f t="shared" si="0"/>
        <v>2</v>
      </c>
      <c r="O4" s="93"/>
    </row>
    <row r="5" spans="1:15" x14ac:dyDescent="0.2">
      <c r="A5" t="s">
        <v>196</v>
      </c>
      <c r="B5" s="92">
        <f>SUM(B3:B4)/B2</f>
        <v>0.66666666666666663</v>
      </c>
      <c r="D5" s="92">
        <f>SUM(D3:D4)/D2</f>
        <v>0.66666666666666663</v>
      </c>
      <c r="F5" s="92" t="e">
        <f>SUM(F3:F4)/F2</f>
        <v>#DIV/0!</v>
      </c>
      <c r="H5" s="92">
        <f>SUM(H3:H4)/H2</f>
        <v>0.25</v>
      </c>
      <c r="J5" s="92" t="e">
        <f>SUM(J3:J4)/J2</f>
        <v>#DIV/0!</v>
      </c>
      <c r="L5" s="92" t="e">
        <f>SUM(L3:L4)/L2</f>
        <v>#DIV/0!</v>
      </c>
      <c r="N5" s="92">
        <f>SUM(N3:N4)/N2</f>
        <v>0.5</v>
      </c>
    </row>
    <row r="7" spans="1:15" x14ac:dyDescent="0.2">
      <c r="A7" t="s">
        <v>197</v>
      </c>
      <c r="B7">
        <v>1</v>
      </c>
      <c r="C7" s="92">
        <f>B7/Kaikki!B2</f>
        <v>0.16666666666666666</v>
      </c>
      <c r="D7">
        <v>6</v>
      </c>
      <c r="E7" s="92">
        <f>D7/Kaikki!C2</f>
        <v>0.16666666666666666</v>
      </c>
      <c r="F7">
        <v>1</v>
      </c>
      <c r="G7" s="92">
        <f>F7/Kaikki!D2</f>
        <v>0.5</v>
      </c>
      <c r="H7">
        <v>2</v>
      </c>
      <c r="I7" s="92">
        <f>H7/Kaikki!E2</f>
        <v>0.18181818181818182</v>
      </c>
      <c r="J7">
        <v>0</v>
      </c>
      <c r="K7" s="92">
        <f>J7/Kaikki!F2</f>
        <v>0</v>
      </c>
      <c r="L7">
        <v>0</v>
      </c>
      <c r="M7" s="92">
        <f>L7/Kaikki!G2</f>
        <v>0</v>
      </c>
      <c r="N7">
        <f t="shared" ref="N7:N9" si="1">SUM(B7,D7,F7,H7,J7,L7)</f>
        <v>10</v>
      </c>
      <c r="O7" s="92">
        <f>N7/Kaikki!H2</f>
        <v>0.15873015873015872</v>
      </c>
    </row>
    <row r="8" spans="1:15" x14ac:dyDescent="0.2">
      <c r="A8" t="s">
        <v>198</v>
      </c>
      <c r="B8">
        <v>0</v>
      </c>
      <c r="C8" s="93">
        <f>(B8+B9)/(Kaikki!B3+Kaikki!B4)</f>
        <v>0.25</v>
      </c>
      <c r="D8">
        <v>5</v>
      </c>
      <c r="E8" s="93">
        <f>(D8+D9)/(Kaikki!C3+Kaikki!C4)</f>
        <v>0.20833333333333334</v>
      </c>
      <c r="F8">
        <v>0</v>
      </c>
      <c r="G8" s="93" t="e">
        <f>(F8+F9)/(Kaikki!D3+Kaikki!D4)</f>
        <v>#DIV/0!</v>
      </c>
      <c r="H8">
        <v>0</v>
      </c>
      <c r="I8" s="93">
        <f>(H8+H9)/(Kaikki!E3+Kaikki!E4)</f>
        <v>0</v>
      </c>
      <c r="J8">
        <v>0</v>
      </c>
      <c r="K8" s="93" t="e">
        <f>(J8+J9)/(Kaikki!F3+Kaikki!F4)</f>
        <v>#DIV/0!</v>
      </c>
      <c r="L8">
        <v>0</v>
      </c>
      <c r="M8" s="93">
        <f>(L8+L9)/(Kaikki!G3+Kaikki!G4)</f>
        <v>0</v>
      </c>
      <c r="N8">
        <f t="shared" si="1"/>
        <v>5</v>
      </c>
      <c r="O8" s="93">
        <f>(N8+N9)/(Kaikki!H3+Kaikki!H4)</f>
        <v>0.16666666666666666</v>
      </c>
    </row>
    <row r="9" spans="1:15" x14ac:dyDescent="0.2">
      <c r="A9" t="s">
        <v>199</v>
      </c>
      <c r="B9">
        <v>1</v>
      </c>
      <c r="C9" s="93"/>
      <c r="D9">
        <v>0</v>
      </c>
      <c r="E9" s="93"/>
      <c r="F9">
        <v>0</v>
      </c>
      <c r="G9" s="93"/>
      <c r="H9">
        <v>0</v>
      </c>
      <c r="I9" s="93"/>
      <c r="J9">
        <v>0</v>
      </c>
      <c r="K9" s="93"/>
      <c r="L9">
        <v>0</v>
      </c>
      <c r="M9" s="93"/>
      <c r="N9">
        <f t="shared" si="1"/>
        <v>1</v>
      </c>
      <c r="O9" s="93"/>
    </row>
    <row r="10" spans="1:15" x14ac:dyDescent="0.2">
      <c r="A10" t="s">
        <v>196</v>
      </c>
      <c r="B10" s="92">
        <f>SUM(B8:B9)/B7</f>
        <v>1</v>
      </c>
      <c r="D10" s="92">
        <f>SUM(D8:D9)/D7</f>
        <v>0.83333333333333337</v>
      </c>
      <c r="F10" s="92">
        <f>SUM(F8:F9)/F7</f>
        <v>0</v>
      </c>
      <c r="H10" s="92">
        <f>SUM(H8:H9)/H7</f>
        <v>0</v>
      </c>
      <c r="J10" s="92" t="e">
        <f>SUM(J8:J9)/J7</f>
        <v>#DIV/0!</v>
      </c>
      <c r="L10" s="92" t="e">
        <f>SUM(L8:L9)/L7</f>
        <v>#DIV/0!</v>
      </c>
      <c r="N10" s="92">
        <f>SUM(N8:N9)/N7</f>
        <v>0.6</v>
      </c>
    </row>
  </sheetData>
  <mergeCells count="14">
    <mergeCell ref="O3:O4"/>
    <mergeCell ref="O8:O9"/>
    <mergeCell ref="I3:I4"/>
    <mergeCell ref="I8:I9"/>
    <mergeCell ref="K3:K4"/>
    <mergeCell ref="K8:K9"/>
    <mergeCell ref="M3:M4"/>
    <mergeCell ref="M8:M9"/>
    <mergeCell ref="C3:C4"/>
    <mergeCell ref="C8:C9"/>
    <mergeCell ref="E3:E4"/>
    <mergeCell ref="E8:E9"/>
    <mergeCell ref="G3:G4"/>
    <mergeCell ref="G8:G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206</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0</v>
      </c>
      <c r="C2" s="92">
        <f>B2/Kaikki!B2</f>
        <v>0</v>
      </c>
      <c r="D2">
        <v>5</v>
      </c>
      <c r="E2" s="92">
        <f>D2/Kaikki!C2</f>
        <v>0.1388888888888889</v>
      </c>
      <c r="F2">
        <v>0</v>
      </c>
      <c r="G2" s="92">
        <f>F2/Kaikki!D2</f>
        <v>0</v>
      </c>
      <c r="H2">
        <v>0</v>
      </c>
      <c r="I2" s="92">
        <f>H2/Kaikki!E2</f>
        <v>0</v>
      </c>
      <c r="J2">
        <v>0</v>
      </c>
      <c r="K2" s="92">
        <f>J2/Kaikki!F2</f>
        <v>0</v>
      </c>
      <c r="L2">
        <v>0</v>
      </c>
      <c r="M2" s="92">
        <f>L2/Kaikki!G2</f>
        <v>0</v>
      </c>
      <c r="N2">
        <f t="shared" ref="N2:N4" si="0">SUM(B2,D2,F2,H2,J2,L2)</f>
        <v>5</v>
      </c>
      <c r="O2" s="92">
        <f>N2/Kaikki!H2</f>
        <v>7.9365079365079361E-2</v>
      </c>
    </row>
    <row r="3" spans="1:15" x14ac:dyDescent="0.2">
      <c r="A3" t="s">
        <v>190</v>
      </c>
      <c r="B3">
        <v>0</v>
      </c>
      <c r="C3" s="93">
        <f>(B3+B4)/(Kaikki!B3+Kaikki!B4)</f>
        <v>0</v>
      </c>
      <c r="D3">
        <v>2</v>
      </c>
      <c r="E3" s="93">
        <f>(D3+D4)/(Kaikki!C3+Kaikki!C4)</f>
        <v>8.3333333333333329E-2</v>
      </c>
      <c r="F3">
        <v>0</v>
      </c>
      <c r="G3" s="93" t="e">
        <f>(F3+F4)/(Kaikki!D3+Kaikki!D4)</f>
        <v>#DIV/0!</v>
      </c>
      <c r="H3">
        <v>0</v>
      </c>
      <c r="I3" s="93">
        <f>(H3+H4)/(Kaikki!E3+Kaikki!E4)</f>
        <v>0</v>
      </c>
      <c r="J3">
        <v>0</v>
      </c>
      <c r="K3" s="93" t="e">
        <f>(J3+J4)/(Kaikki!F3+Kaikki!F4)</f>
        <v>#DIV/0!</v>
      </c>
      <c r="L3">
        <v>0</v>
      </c>
      <c r="M3" s="93">
        <f>(L3+L4)/(Kaikki!G3+Kaikki!G4)</f>
        <v>0</v>
      </c>
      <c r="N3">
        <f t="shared" si="0"/>
        <v>2</v>
      </c>
      <c r="O3" s="93">
        <f>(N3+N4)/(Kaikki!H3+Kaikki!H4)</f>
        <v>5.5555555555555552E-2</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t="e">
        <f>SUM(B3:B4)/B2</f>
        <v>#DIV/0!</v>
      </c>
      <c r="D5" s="92">
        <f>SUM(D3:D4)/D2</f>
        <v>0.4</v>
      </c>
      <c r="F5" s="92" t="e">
        <f>SUM(F3:F4)/F2</f>
        <v>#DIV/0!</v>
      </c>
      <c r="H5" s="92" t="e">
        <f>SUM(H3:H4)/H2</f>
        <v>#DIV/0!</v>
      </c>
      <c r="J5" s="92" t="e">
        <f>SUM(J3:J4)/J2</f>
        <v>#DIV/0!</v>
      </c>
      <c r="L5" s="92" t="e">
        <f>SUM(L3:L4)/L2</f>
        <v>#DIV/0!</v>
      </c>
      <c r="N5" s="92">
        <f>SUM(N3:N4)/N2</f>
        <v>0.4</v>
      </c>
    </row>
    <row r="7" spans="1:15" x14ac:dyDescent="0.2">
      <c r="A7" t="s">
        <v>197</v>
      </c>
      <c r="B7">
        <v>0</v>
      </c>
      <c r="C7" s="92">
        <f>B7/Kaikki!B2</f>
        <v>0</v>
      </c>
      <c r="D7">
        <v>1</v>
      </c>
      <c r="E7" s="92">
        <f>D7/Kaikki!C2</f>
        <v>2.7777777777777776E-2</v>
      </c>
      <c r="F7">
        <v>1</v>
      </c>
      <c r="G7" s="92">
        <f>F7/Kaikki!D2</f>
        <v>0.5</v>
      </c>
      <c r="H7">
        <v>0</v>
      </c>
      <c r="I7" s="92">
        <f>H7/Kaikki!E2</f>
        <v>0</v>
      </c>
      <c r="J7">
        <v>0</v>
      </c>
      <c r="K7" s="92">
        <f>J7/Kaikki!F2</f>
        <v>0</v>
      </c>
      <c r="L7">
        <v>0</v>
      </c>
      <c r="M7" s="92">
        <f>L7/Kaikki!G2</f>
        <v>0</v>
      </c>
      <c r="N7">
        <f t="shared" ref="N7:N9" si="1">SUM(B7,D7,F7,H7,J7,L7)</f>
        <v>2</v>
      </c>
      <c r="O7" s="92">
        <f>N7/Kaikki!H2</f>
        <v>3.1746031746031744E-2</v>
      </c>
    </row>
    <row r="8" spans="1:15" x14ac:dyDescent="0.2">
      <c r="A8" t="s">
        <v>198</v>
      </c>
      <c r="B8">
        <v>0</v>
      </c>
      <c r="C8" s="93">
        <f>(B8+B9)/(Kaikki!B3+Kaikki!B4)</f>
        <v>0</v>
      </c>
      <c r="D8">
        <v>1</v>
      </c>
      <c r="E8" s="93">
        <f>(D8+D9)/(Kaikki!C3+Kaikki!C4)</f>
        <v>4.1666666666666664E-2</v>
      </c>
      <c r="F8">
        <v>0</v>
      </c>
      <c r="G8" s="93" t="e">
        <f>(F8+F9)/(Kaikki!D3+Kaikki!D4)</f>
        <v>#DIV/0!</v>
      </c>
      <c r="H8">
        <v>0</v>
      </c>
      <c r="I8" s="93">
        <f>(H8+H9)/(Kaikki!E3+Kaikki!E4)</f>
        <v>0</v>
      </c>
      <c r="J8">
        <v>0</v>
      </c>
      <c r="K8" s="93" t="e">
        <f>(J8+J9)/(Kaikki!F3+Kaikki!F4)</f>
        <v>#DIV/0!</v>
      </c>
      <c r="L8">
        <v>0</v>
      </c>
      <c r="M8" s="93">
        <f>(L8+L9)/(Kaikki!G3+Kaikki!G4)</f>
        <v>0</v>
      </c>
      <c r="N8">
        <f t="shared" si="1"/>
        <v>1</v>
      </c>
      <c r="O8" s="93">
        <f>(N8+N9)/(Kaikki!H3+Kaikki!H4)</f>
        <v>2.7777777777777776E-2</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t="e">
        <f>SUM(B8:B9)/B7</f>
        <v>#DIV/0!</v>
      </c>
      <c r="D10" s="92">
        <f>SUM(D8:D9)/D7</f>
        <v>1</v>
      </c>
      <c r="F10" s="92">
        <f>SUM(F8:F9)/F7</f>
        <v>0</v>
      </c>
      <c r="H10" s="92" t="e">
        <f>SUM(H8:H9)/H7</f>
        <v>#DIV/0!</v>
      </c>
      <c r="J10" s="92" t="e">
        <f>SUM(J8:J9)/J7</f>
        <v>#DIV/0!</v>
      </c>
      <c r="L10" s="92" t="e">
        <f>SUM(L8:L9)/L7</f>
        <v>#DIV/0!</v>
      </c>
      <c r="N10" s="92">
        <f>SUM(N8:N9)/N7</f>
        <v>0.5</v>
      </c>
    </row>
  </sheetData>
  <mergeCells count="14">
    <mergeCell ref="O3:O4"/>
    <mergeCell ref="O8:O9"/>
    <mergeCell ref="I3:I4"/>
    <mergeCell ref="I8:I9"/>
    <mergeCell ref="K3:K4"/>
    <mergeCell ref="K8:K9"/>
    <mergeCell ref="M3:M4"/>
    <mergeCell ref="M8:M9"/>
    <mergeCell ref="C3:C4"/>
    <mergeCell ref="C8:C9"/>
    <mergeCell ref="E3:E4"/>
    <mergeCell ref="E8:E9"/>
    <mergeCell ref="G3:G4"/>
    <mergeCell ref="G8:G9"/>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205</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0</v>
      </c>
      <c r="C2" s="92">
        <f>B2/Kaikki!B2</f>
        <v>0</v>
      </c>
      <c r="D2">
        <v>0</v>
      </c>
      <c r="E2" s="92">
        <f>D2/Kaikki!C2</f>
        <v>0</v>
      </c>
      <c r="F2">
        <v>1</v>
      </c>
      <c r="G2" s="92">
        <f>F2/Kaikki!D2</f>
        <v>0.5</v>
      </c>
      <c r="H2">
        <v>0</v>
      </c>
      <c r="I2" s="92">
        <f>H2/Kaikki!E2</f>
        <v>0</v>
      </c>
      <c r="J2">
        <v>0</v>
      </c>
      <c r="K2" s="92">
        <f>J2/Kaikki!F2</f>
        <v>0</v>
      </c>
      <c r="L2">
        <v>0</v>
      </c>
      <c r="M2" s="92">
        <f>L2/Kaikki!G2</f>
        <v>0</v>
      </c>
      <c r="N2">
        <f t="shared" ref="N2:N4" si="0">SUM(B2,D2,F2,H2,J2,L2)</f>
        <v>1</v>
      </c>
      <c r="O2" s="92">
        <f>N2/Kaikki!H2</f>
        <v>1.5873015873015872E-2</v>
      </c>
    </row>
    <row r="3" spans="1:15" x14ac:dyDescent="0.2">
      <c r="A3" t="s">
        <v>190</v>
      </c>
      <c r="B3">
        <v>0</v>
      </c>
      <c r="C3" s="93">
        <f>(B3+B4)/(Kaikki!B3+Kaikki!B4)</f>
        <v>0</v>
      </c>
      <c r="D3">
        <v>0</v>
      </c>
      <c r="E3" s="93">
        <f>(D3+D4)/(Kaikki!C3+Kaikki!C4)</f>
        <v>0</v>
      </c>
      <c r="F3">
        <v>0</v>
      </c>
      <c r="G3" s="93" t="e">
        <f>(F3+F4)/(Kaikki!D3+Kaikki!D4)</f>
        <v>#DIV/0!</v>
      </c>
      <c r="H3">
        <v>0</v>
      </c>
      <c r="I3" s="93">
        <f>(H3+H4)/(Kaikki!E3+Kaikki!E4)</f>
        <v>0</v>
      </c>
      <c r="J3">
        <v>0</v>
      </c>
      <c r="K3" s="93" t="e">
        <f>(J3+J4)/(Kaikki!F3+Kaikki!F4)</f>
        <v>#DIV/0!</v>
      </c>
      <c r="L3">
        <v>0</v>
      </c>
      <c r="M3" s="93">
        <f>(L3+L4)/(Kaikki!G3+Kaikki!G4)</f>
        <v>0</v>
      </c>
      <c r="N3">
        <f t="shared" si="0"/>
        <v>0</v>
      </c>
      <c r="O3" s="93">
        <f>(N3+N4)/(Kaikki!H3+Kaikki!H4)</f>
        <v>0</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t="e">
        <f>SUM(B3:B4)/B2</f>
        <v>#DIV/0!</v>
      </c>
      <c r="D5" s="92" t="e">
        <f>SUM(D3:D4)/D2</f>
        <v>#DIV/0!</v>
      </c>
      <c r="F5" s="92">
        <f>SUM(F3:F4)/F2</f>
        <v>0</v>
      </c>
      <c r="H5" s="92" t="e">
        <f>SUM(H3:H4)/H2</f>
        <v>#DIV/0!</v>
      </c>
      <c r="J5" s="92" t="e">
        <f>SUM(J3:J4)/J2</f>
        <v>#DIV/0!</v>
      </c>
      <c r="L5" s="92" t="e">
        <f>SUM(L3:L4)/L2</f>
        <v>#DIV/0!</v>
      </c>
      <c r="N5" s="92">
        <f>SUM(N3:N4)/N2</f>
        <v>0</v>
      </c>
    </row>
    <row r="7" spans="1:15" x14ac:dyDescent="0.2">
      <c r="A7" t="s">
        <v>197</v>
      </c>
      <c r="B7">
        <v>0</v>
      </c>
      <c r="C7" s="92">
        <f>B7/Kaikki!B2</f>
        <v>0</v>
      </c>
      <c r="D7">
        <v>0</v>
      </c>
      <c r="E7" s="92">
        <f>D7/Kaikki!C2</f>
        <v>0</v>
      </c>
      <c r="F7">
        <v>0</v>
      </c>
      <c r="G7" s="92">
        <f>F7/Kaikki!D2</f>
        <v>0</v>
      </c>
      <c r="H7">
        <v>0</v>
      </c>
      <c r="I7" s="92">
        <f>H7/Kaikki!E2</f>
        <v>0</v>
      </c>
      <c r="J7">
        <v>0</v>
      </c>
      <c r="K7" s="92">
        <f>J7/Kaikki!F2</f>
        <v>0</v>
      </c>
      <c r="L7">
        <v>0</v>
      </c>
      <c r="M7" s="92">
        <f>L7/Kaikki!G2</f>
        <v>0</v>
      </c>
      <c r="N7">
        <f t="shared" ref="N7:N9" si="1">SUM(B7,D7,F7,H7,J7,L7)</f>
        <v>0</v>
      </c>
      <c r="O7" s="92">
        <f>N7/Kaikki!H2</f>
        <v>0</v>
      </c>
    </row>
    <row r="8" spans="1:15" x14ac:dyDescent="0.2">
      <c r="A8" t="s">
        <v>198</v>
      </c>
      <c r="B8">
        <v>0</v>
      </c>
      <c r="C8" s="93">
        <f>(B8+B9)/(Kaikki!B3+Kaikki!B4)</f>
        <v>0</v>
      </c>
      <c r="D8">
        <v>0</v>
      </c>
      <c r="E8" s="93">
        <f>(D8+D9)/(Kaikki!C3+Kaikki!C4)</f>
        <v>0</v>
      </c>
      <c r="F8">
        <v>0</v>
      </c>
      <c r="G8" s="93" t="e">
        <f>(F8+F9)/(Kaikki!D3+Kaikki!D4)</f>
        <v>#DIV/0!</v>
      </c>
      <c r="H8">
        <v>0</v>
      </c>
      <c r="I8" s="93">
        <f>(H8+H9)/(Kaikki!E3+Kaikki!E4)</f>
        <v>0</v>
      </c>
      <c r="J8">
        <v>0</v>
      </c>
      <c r="K8" s="93" t="e">
        <f>(J8+J9)/(Kaikki!F3+Kaikki!F4)</f>
        <v>#DIV/0!</v>
      </c>
      <c r="L8">
        <v>0</v>
      </c>
      <c r="M8" s="93">
        <f>(L8+L9)/(Kaikki!G3+Kaikki!G4)</f>
        <v>0</v>
      </c>
      <c r="N8">
        <f t="shared" si="1"/>
        <v>0</v>
      </c>
      <c r="O8" s="93">
        <f>(N8+N9)/(Kaikki!H3+Kaikki!H4)</f>
        <v>0</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t="e">
        <f>SUM(B8:B9)/B7</f>
        <v>#DIV/0!</v>
      </c>
      <c r="D10" s="92" t="e">
        <f>SUM(D8:D9)/D7</f>
        <v>#DIV/0!</v>
      </c>
      <c r="F10" s="92" t="e">
        <f>SUM(F8:F9)/F7</f>
        <v>#DIV/0!</v>
      </c>
      <c r="H10" s="92" t="e">
        <f>SUM(H8:H9)/H7</f>
        <v>#DIV/0!</v>
      </c>
      <c r="J10" s="92" t="e">
        <f>SUM(J8:J9)/J7</f>
        <v>#DIV/0!</v>
      </c>
      <c r="L10" s="92" t="e">
        <f>SUM(L8:L9)/L7</f>
        <v>#DIV/0!</v>
      </c>
      <c r="N10" s="92" t="e">
        <f>SUM(N8:N9)/N7</f>
        <v>#DIV/0!</v>
      </c>
    </row>
  </sheetData>
  <mergeCells count="14">
    <mergeCell ref="O3:O4"/>
    <mergeCell ref="O8:O9"/>
    <mergeCell ref="I3:I4"/>
    <mergeCell ref="I8:I9"/>
    <mergeCell ref="K3:K4"/>
    <mergeCell ref="K8:K9"/>
    <mergeCell ref="M3:M4"/>
    <mergeCell ref="M8:M9"/>
    <mergeCell ref="C3:C4"/>
    <mergeCell ref="C8:C9"/>
    <mergeCell ref="E3:E4"/>
    <mergeCell ref="E8:E9"/>
    <mergeCell ref="G3:G4"/>
    <mergeCell ref="G8:G9"/>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204</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0</v>
      </c>
      <c r="C2" s="92">
        <f>B2/Kaikki!B2</f>
        <v>0</v>
      </c>
      <c r="D2">
        <v>0</v>
      </c>
      <c r="E2" s="92">
        <f>D2/Kaikki!C2</f>
        <v>0</v>
      </c>
      <c r="F2">
        <v>0</v>
      </c>
      <c r="G2" s="92">
        <f>F2/Kaikki!D2</f>
        <v>0</v>
      </c>
      <c r="H2">
        <v>0</v>
      </c>
      <c r="I2" s="92">
        <f>H2/Kaikki!E2</f>
        <v>0</v>
      </c>
      <c r="J2">
        <v>0</v>
      </c>
      <c r="K2" s="92">
        <f>J2/Kaikki!F2</f>
        <v>0</v>
      </c>
      <c r="L2">
        <v>0</v>
      </c>
      <c r="M2" s="92">
        <f>L2/Kaikki!G2</f>
        <v>0</v>
      </c>
      <c r="N2">
        <f t="shared" ref="N2:N4" si="0">SUM(B2,D2,F2,H2,J2,L2)</f>
        <v>0</v>
      </c>
      <c r="O2" s="92">
        <f>N2/Kaikki!H2</f>
        <v>0</v>
      </c>
    </row>
    <row r="3" spans="1:15" x14ac:dyDescent="0.2">
      <c r="A3" t="s">
        <v>190</v>
      </c>
      <c r="B3">
        <v>0</v>
      </c>
      <c r="C3" s="93">
        <f>(B3+B4)/(Kaikki!B3+Kaikki!B4)</f>
        <v>0</v>
      </c>
      <c r="D3">
        <v>0</v>
      </c>
      <c r="E3" s="93">
        <f>(D3+D4)/(Kaikki!C3+Kaikki!C4)</f>
        <v>0</v>
      </c>
      <c r="F3">
        <v>0</v>
      </c>
      <c r="G3" s="93" t="e">
        <f>(F3+F4)/(Kaikki!D3+Kaikki!D4)</f>
        <v>#DIV/0!</v>
      </c>
      <c r="H3">
        <v>0</v>
      </c>
      <c r="I3" s="93">
        <f>(H3+H4)/(Kaikki!E3+Kaikki!E4)</f>
        <v>0</v>
      </c>
      <c r="J3">
        <v>0</v>
      </c>
      <c r="K3" s="93" t="e">
        <f>(J3+J4)/(Kaikki!F3+Kaikki!F4)</f>
        <v>#DIV/0!</v>
      </c>
      <c r="L3">
        <v>0</v>
      </c>
      <c r="M3" s="93">
        <f>(L3+L4)/(Kaikki!G3+Kaikki!G4)</f>
        <v>0</v>
      </c>
      <c r="N3">
        <f t="shared" si="0"/>
        <v>0</v>
      </c>
      <c r="O3" s="93">
        <f>(N3+N4)/(Kaikki!H3+Kaikki!H4)</f>
        <v>0</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t="e">
        <f>SUM(B3:B4)/B2</f>
        <v>#DIV/0!</v>
      </c>
      <c r="D5" s="92" t="e">
        <f>SUM(D3:D4)/D2</f>
        <v>#DIV/0!</v>
      </c>
      <c r="F5" s="92" t="e">
        <f>SUM(F3:F4)/F2</f>
        <v>#DIV/0!</v>
      </c>
      <c r="H5" s="92" t="e">
        <f>SUM(H3:H4)/H2</f>
        <v>#DIV/0!</v>
      </c>
      <c r="J5" s="92" t="e">
        <f>SUM(J3:J4)/J2</f>
        <v>#DIV/0!</v>
      </c>
      <c r="L5" s="92" t="e">
        <f>SUM(L3:L4)/L2</f>
        <v>#DIV/0!</v>
      </c>
      <c r="N5" s="92" t="e">
        <f>SUM(N3:N4)/N2</f>
        <v>#DIV/0!</v>
      </c>
    </row>
    <row r="7" spans="1:15" x14ac:dyDescent="0.2">
      <c r="A7" t="s">
        <v>197</v>
      </c>
      <c r="B7">
        <v>0</v>
      </c>
      <c r="C7" s="92">
        <f>B7/Kaikki!B2</f>
        <v>0</v>
      </c>
      <c r="D7">
        <v>0</v>
      </c>
      <c r="E7" s="92">
        <f>D7/Kaikki!C2</f>
        <v>0</v>
      </c>
      <c r="F7">
        <v>0</v>
      </c>
      <c r="G7" s="92">
        <f>F7/Kaikki!D2</f>
        <v>0</v>
      </c>
      <c r="H7">
        <v>0</v>
      </c>
      <c r="I7" s="92">
        <f>H7/Kaikki!E2</f>
        <v>0</v>
      </c>
      <c r="J7">
        <v>0</v>
      </c>
      <c r="K7" s="92">
        <f>J7/Kaikki!F2</f>
        <v>0</v>
      </c>
      <c r="L7">
        <v>0</v>
      </c>
      <c r="M7" s="92">
        <f>L7/Kaikki!G2</f>
        <v>0</v>
      </c>
      <c r="N7">
        <f t="shared" ref="N7:N9" si="1">SUM(B7,D7,F7,H7,J7,L7)</f>
        <v>0</v>
      </c>
      <c r="O7" s="92">
        <f>N7/Kaikki!H2</f>
        <v>0</v>
      </c>
    </row>
    <row r="8" spans="1:15" x14ac:dyDescent="0.2">
      <c r="A8" t="s">
        <v>198</v>
      </c>
      <c r="B8">
        <v>0</v>
      </c>
      <c r="C8" s="93">
        <f>(B8+B9)/(Kaikki!B3+Kaikki!B4)</f>
        <v>0</v>
      </c>
      <c r="D8">
        <v>0</v>
      </c>
      <c r="E8" s="93">
        <f>(D8+D9)/(Kaikki!C3+Kaikki!C4)</f>
        <v>0</v>
      </c>
      <c r="F8">
        <v>0</v>
      </c>
      <c r="G8" s="93" t="e">
        <f>(F8+F9)/(Kaikki!D3+Kaikki!D4)</f>
        <v>#DIV/0!</v>
      </c>
      <c r="H8">
        <v>0</v>
      </c>
      <c r="I8" s="93">
        <f>(H8+H9)/(Kaikki!E3+Kaikki!E4)</f>
        <v>0</v>
      </c>
      <c r="J8">
        <v>0</v>
      </c>
      <c r="K8" s="93" t="e">
        <f>(J8+J9)/(Kaikki!F3+Kaikki!F4)</f>
        <v>#DIV/0!</v>
      </c>
      <c r="L8">
        <v>0</v>
      </c>
      <c r="M8" s="93">
        <f>(L8+L9)/(Kaikki!G3+Kaikki!G4)</f>
        <v>0</v>
      </c>
      <c r="N8">
        <f t="shared" si="1"/>
        <v>0</v>
      </c>
      <c r="O8" s="93">
        <f>(N8+N9)/(Kaikki!H3+Kaikki!H4)</f>
        <v>0</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t="e">
        <f>SUM(B8:B9)/B7</f>
        <v>#DIV/0!</v>
      </c>
      <c r="D10" s="92" t="e">
        <f>SUM(D8:D9)/D7</f>
        <v>#DIV/0!</v>
      </c>
      <c r="F10" s="92" t="e">
        <f>SUM(F8:F9)/F7</f>
        <v>#DIV/0!</v>
      </c>
      <c r="H10" s="92" t="e">
        <f>SUM(H8:H9)/H7</f>
        <v>#DIV/0!</v>
      </c>
      <c r="J10" s="92" t="e">
        <f>SUM(J8:J9)/J7</f>
        <v>#DIV/0!</v>
      </c>
      <c r="L10" s="92" t="e">
        <f>SUM(L8:L9)/L7</f>
        <v>#DIV/0!</v>
      </c>
      <c r="N10" s="92" t="e">
        <f>SUM(N8:N9)/N7</f>
        <v>#DIV/0!</v>
      </c>
    </row>
  </sheetData>
  <mergeCells count="14">
    <mergeCell ref="O3:O4"/>
    <mergeCell ref="O8:O9"/>
    <mergeCell ref="I3:I4"/>
    <mergeCell ref="I8:I9"/>
    <mergeCell ref="K3:K4"/>
    <mergeCell ref="K8:K9"/>
    <mergeCell ref="M3:M4"/>
    <mergeCell ref="M8:M9"/>
    <mergeCell ref="C3:C4"/>
    <mergeCell ref="C8:C9"/>
    <mergeCell ref="E3:E4"/>
    <mergeCell ref="E8:E9"/>
    <mergeCell ref="G3:G4"/>
    <mergeCell ref="G8:G9"/>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203</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0</v>
      </c>
      <c r="C2" s="92">
        <f>B2/Kaikki!B2</f>
        <v>0</v>
      </c>
      <c r="D2">
        <v>0</v>
      </c>
      <c r="E2" s="92">
        <f>D2/Kaikki!C2</f>
        <v>0</v>
      </c>
      <c r="F2">
        <v>0</v>
      </c>
      <c r="G2" s="92">
        <f>F2/Kaikki!D2</f>
        <v>0</v>
      </c>
      <c r="H2">
        <v>1</v>
      </c>
      <c r="I2" s="92">
        <f>H2/Kaikki!E2</f>
        <v>9.0909090909090912E-2</v>
      </c>
      <c r="J2">
        <v>0</v>
      </c>
      <c r="K2" s="92">
        <f>J2/Kaikki!F2</f>
        <v>0</v>
      </c>
      <c r="L2">
        <v>0</v>
      </c>
      <c r="M2" s="92">
        <f>L2/Kaikki!G2</f>
        <v>0</v>
      </c>
      <c r="N2">
        <f t="shared" ref="N2:N4" si="0">SUM(B2,D2,F2,H2,J2,L2)</f>
        <v>1</v>
      </c>
      <c r="O2" s="92">
        <f>N2/Kaikki!H2</f>
        <v>1.5873015873015872E-2</v>
      </c>
    </row>
    <row r="3" spans="1:15" x14ac:dyDescent="0.2">
      <c r="A3" t="s">
        <v>190</v>
      </c>
      <c r="B3">
        <v>0</v>
      </c>
      <c r="C3" s="93">
        <f>(B3+B4)/(Kaikki!B3+Kaikki!B4)</f>
        <v>0</v>
      </c>
      <c r="D3">
        <v>0</v>
      </c>
      <c r="E3" s="93">
        <f>(D3+D4)/(Kaikki!C3+Kaikki!C4)</f>
        <v>0</v>
      </c>
      <c r="F3">
        <v>0</v>
      </c>
      <c r="G3" s="93" t="e">
        <f>(F3+F4)/(Kaikki!D3+Kaikki!D4)</f>
        <v>#DIV/0!</v>
      </c>
      <c r="H3">
        <v>0</v>
      </c>
      <c r="I3" s="93">
        <f>(H3+H4)/(Kaikki!E3+Kaikki!E4)</f>
        <v>0</v>
      </c>
      <c r="J3">
        <v>0</v>
      </c>
      <c r="K3" s="93" t="e">
        <f>(J3+J4)/(Kaikki!F3+Kaikki!F4)</f>
        <v>#DIV/0!</v>
      </c>
      <c r="L3">
        <v>0</v>
      </c>
      <c r="M3" s="93">
        <f>(L3+L4)/(Kaikki!G3+Kaikki!G4)</f>
        <v>0</v>
      </c>
      <c r="N3">
        <f t="shared" si="0"/>
        <v>0</v>
      </c>
      <c r="O3" s="93">
        <f>(N3+N4)/(Kaikki!H3+Kaikki!H4)</f>
        <v>0</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t="e">
        <f>SUM(B3:B4)/B2</f>
        <v>#DIV/0!</v>
      </c>
      <c r="D5" s="92" t="e">
        <f>SUM(D3:D4)/D2</f>
        <v>#DIV/0!</v>
      </c>
      <c r="F5" s="92" t="e">
        <f>SUM(F3:F4)/F2</f>
        <v>#DIV/0!</v>
      </c>
      <c r="H5" s="92">
        <f>SUM(H3:H4)/H2</f>
        <v>0</v>
      </c>
      <c r="J5" s="92" t="e">
        <f>SUM(J3:J4)/J2</f>
        <v>#DIV/0!</v>
      </c>
      <c r="L5" s="92" t="e">
        <f>SUM(L3:L4)/L2</f>
        <v>#DIV/0!</v>
      </c>
      <c r="N5" s="92">
        <f>SUM(N3:N4)/N2</f>
        <v>0</v>
      </c>
    </row>
    <row r="7" spans="1:15" x14ac:dyDescent="0.2">
      <c r="A7" t="s">
        <v>197</v>
      </c>
      <c r="B7">
        <v>0</v>
      </c>
      <c r="C7" s="92">
        <f>B7/Kaikki!B2</f>
        <v>0</v>
      </c>
      <c r="D7">
        <v>1</v>
      </c>
      <c r="E7" s="92">
        <f>D7/Kaikki!C2</f>
        <v>2.7777777777777776E-2</v>
      </c>
      <c r="F7">
        <v>0</v>
      </c>
      <c r="G7" s="92">
        <f>F7/Kaikki!D2</f>
        <v>0</v>
      </c>
      <c r="H7">
        <v>1</v>
      </c>
      <c r="I7" s="92">
        <f>H7/Kaikki!E2</f>
        <v>9.0909090909090912E-2</v>
      </c>
      <c r="J7">
        <v>0</v>
      </c>
      <c r="K7" s="92">
        <f>J7/Kaikki!F2</f>
        <v>0</v>
      </c>
      <c r="L7">
        <v>0</v>
      </c>
      <c r="M7" s="92">
        <f>L7/Kaikki!G2</f>
        <v>0</v>
      </c>
      <c r="N7">
        <f t="shared" ref="N7:N9" si="1">SUM(B7,D7,F7,H7,J7,L7)</f>
        <v>2</v>
      </c>
      <c r="O7" s="92">
        <f>N7/Kaikki!H2</f>
        <v>3.1746031746031744E-2</v>
      </c>
    </row>
    <row r="8" spans="1:15" x14ac:dyDescent="0.2">
      <c r="A8" t="s">
        <v>198</v>
      </c>
      <c r="B8">
        <v>0</v>
      </c>
      <c r="C8" s="93">
        <f>(B8+B9)/(Kaikki!B3+Kaikki!B4)</f>
        <v>0</v>
      </c>
      <c r="D8">
        <v>1</v>
      </c>
      <c r="E8" s="93">
        <f>(D8+D9)/(Kaikki!C3+Kaikki!C4)</f>
        <v>4.1666666666666664E-2</v>
      </c>
      <c r="F8">
        <v>0</v>
      </c>
      <c r="G8" s="93" t="e">
        <f>(F8+F9)/(Kaikki!D3+Kaikki!D4)</f>
        <v>#DIV/0!</v>
      </c>
      <c r="H8">
        <v>0</v>
      </c>
      <c r="I8" s="93">
        <f>(H8+H9)/(Kaikki!E3+Kaikki!E4)</f>
        <v>0</v>
      </c>
      <c r="J8">
        <v>0</v>
      </c>
      <c r="K8" s="93" t="e">
        <f>(J8+J9)/(Kaikki!F3+Kaikki!F4)</f>
        <v>#DIV/0!</v>
      </c>
      <c r="L8">
        <v>0</v>
      </c>
      <c r="M8" s="93">
        <f>(L8+L9)/(Kaikki!G3+Kaikki!G4)</f>
        <v>0</v>
      </c>
      <c r="N8">
        <f t="shared" si="1"/>
        <v>1</v>
      </c>
      <c r="O8" s="93">
        <f>(N8+N9)/(Kaikki!H3+Kaikki!H4)</f>
        <v>2.7777777777777776E-2</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t="e">
        <f>SUM(B8:B9)/B7</f>
        <v>#DIV/0!</v>
      </c>
      <c r="D10" s="92">
        <f>SUM(D8:D9)/D7</f>
        <v>1</v>
      </c>
      <c r="F10" s="92" t="e">
        <f>SUM(F8:F9)/F7</f>
        <v>#DIV/0!</v>
      </c>
      <c r="H10" s="92">
        <f>SUM(H8:H9)/H7</f>
        <v>0</v>
      </c>
      <c r="J10" s="92" t="e">
        <f>SUM(J8:J9)/J7</f>
        <v>#DIV/0!</v>
      </c>
      <c r="L10" s="92" t="e">
        <f>SUM(L8:L9)/L7</f>
        <v>#DIV/0!</v>
      </c>
      <c r="N10" s="92">
        <f>SUM(N8:N9)/N7</f>
        <v>0.5</v>
      </c>
    </row>
  </sheetData>
  <mergeCells count="14">
    <mergeCell ref="O3:O4"/>
    <mergeCell ref="O8:O9"/>
    <mergeCell ref="I3:I4"/>
    <mergeCell ref="I8:I9"/>
    <mergeCell ref="K3:K4"/>
    <mergeCell ref="K8:K9"/>
    <mergeCell ref="M3:M4"/>
    <mergeCell ref="M8:M9"/>
    <mergeCell ref="C3:C4"/>
    <mergeCell ref="C8:C9"/>
    <mergeCell ref="E3:E4"/>
    <mergeCell ref="E8:E9"/>
    <mergeCell ref="G3:G4"/>
    <mergeCell ref="G8:G9"/>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202</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0</v>
      </c>
      <c r="C2" s="92">
        <f>B2/Kaikki!B2</f>
        <v>0</v>
      </c>
      <c r="D2">
        <v>0</v>
      </c>
      <c r="E2" s="92">
        <f>D2/Kaikki!C2</f>
        <v>0</v>
      </c>
      <c r="F2">
        <v>0</v>
      </c>
      <c r="G2" s="92">
        <f>F2/Kaikki!D2</f>
        <v>0</v>
      </c>
      <c r="H2">
        <v>0</v>
      </c>
      <c r="I2" s="92">
        <f>H2/Kaikki!E2</f>
        <v>0</v>
      </c>
      <c r="J2">
        <v>0</v>
      </c>
      <c r="K2" s="92">
        <f>J2/Kaikki!F2</f>
        <v>0</v>
      </c>
      <c r="L2">
        <v>0</v>
      </c>
      <c r="M2" s="92">
        <f>L2/Kaikki!G2</f>
        <v>0</v>
      </c>
      <c r="N2">
        <f t="shared" ref="N2:N4" si="0">SUM(B2,D2,F2,H2,J2,L2)</f>
        <v>0</v>
      </c>
      <c r="O2" s="92">
        <f>N2/Kaikki!H2</f>
        <v>0</v>
      </c>
    </row>
    <row r="3" spans="1:15" x14ac:dyDescent="0.2">
      <c r="A3" t="s">
        <v>190</v>
      </c>
      <c r="B3">
        <v>0</v>
      </c>
      <c r="C3" s="93">
        <f>(B3+B4)/(Kaikki!B3+Kaikki!B4)</f>
        <v>0</v>
      </c>
      <c r="D3">
        <v>0</v>
      </c>
      <c r="E3" s="93">
        <f>(D3+D4)/(Kaikki!C3+Kaikki!C4)</f>
        <v>0</v>
      </c>
      <c r="F3">
        <v>0</v>
      </c>
      <c r="G3" s="93" t="e">
        <f>(F3+F4)/(Kaikki!D3+Kaikki!D4)</f>
        <v>#DIV/0!</v>
      </c>
      <c r="H3">
        <v>0</v>
      </c>
      <c r="I3" s="93">
        <f>(H3+H4)/(Kaikki!E3+Kaikki!E4)</f>
        <v>0</v>
      </c>
      <c r="J3">
        <v>0</v>
      </c>
      <c r="K3" s="93" t="e">
        <f>(J3+J4)/(Kaikki!F3+Kaikki!F4)</f>
        <v>#DIV/0!</v>
      </c>
      <c r="L3">
        <v>0</v>
      </c>
      <c r="M3" s="93">
        <f>(L3+L4)/(Kaikki!G3+Kaikki!G4)</f>
        <v>0</v>
      </c>
      <c r="N3">
        <f t="shared" si="0"/>
        <v>0</v>
      </c>
      <c r="O3" s="93">
        <f>(N3+N4)/(Kaikki!H3+Kaikki!H4)</f>
        <v>0</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t="e">
        <f>SUM(B3:B4)/B2</f>
        <v>#DIV/0!</v>
      </c>
      <c r="D5" s="92" t="e">
        <f>SUM(D3:D4)/D2</f>
        <v>#DIV/0!</v>
      </c>
      <c r="F5" s="92" t="e">
        <f>SUM(F3:F4)/F2</f>
        <v>#DIV/0!</v>
      </c>
      <c r="H5" s="92" t="e">
        <f>SUM(H3:H4)/H2</f>
        <v>#DIV/0!</v>
      </c>
      <c r="J5" s="92" t="e">
        <f>SUM(J3:J4)/J2</f>
        <v>#DIV/0!</v>
      </c>
      <c r="L5" s="92" t="e">
        <f>SUM(L3:L4)/L2</f>
        <v>#DIV/0!</v>
      </c>
      <c r="N5" s="92" t="e">
        <f>SUM(N3:N4)/N2</f>
        <v>#DIV/0!</v>
      </c>
    </row>
    <row r="7" spans="1:15" x14ac:dyDescent="0.2">
      <c r="A7" t="s">
        <v>197</v>
      </c>
      <c r="B7">
        <v>1</v>
      </c>
      <c r="C7" s="92">
        <f>B7/Kaikki!B2</f>
        <v>0.16666666666666666</v>
      </c>
      <c r="D7">
        <v>1</v>
      </c>
      <c r="E7" s="92">
        <f>D7/Kaikki!C2</f>
        <v>2.7777777777777776E-2</v>
      </c>
      <c r="F7">
        <v>0</v>
      </c>
      <c r="G7" s="92">
        <f>F7/Kaikki!D2</f>
        <v>0</v>
      </c>
      <c r="H7">
        <v>0</v>
      </c>
      <c r="I7" s="92">
        <f>H7/Kaikki!E2</f>
        <v>0</v>
      </c>
      <c r="J7">
        <v>0</v>
      </c>
      <c r="K7" s="92">
        <f>J7/Kaikki!F2</f>
        <v>0</v>
      </c>
      <c r="L7">
        <v>1</v>
      </c>
      <c r="M7" s="92">
        <f>L7/Kaikki!G2</f>
        <v>0.14285714285714285</v>
      </c>
      <c r="N7">
        <f t="shared" ref="N7:N9" si="1">SUM(B7,D7,F7,H7,J7,L7)</f>
        <v>3</v>
      </c>
      <c r="O7" s="92">
        <f>N7/Kaikki!H2</f>
        <v>4.7619047619047616E-2</v>
      </c>
    </row>
    <row r="8" spans="1:15" x14ac:dyDescent="0.2">
      <c r="A8" t="s">
        <v>198</v>
      </c>
      <c r="B8">
        <v>0</v>
      </c>
      <c r="C8" s="93">
        <f>(B8+B9)/(Kaikki!B3+Kaikki!B4)</f>
        <v>0</v>
      </c>
      <c r="D8">
        <v>0</v>
      </c>
      <c r="E8" s="93">
        <f>(D8+D9)/(Kaikki!C3+Kaikki!C4)</f>
        <v>0</v>
      </c>
      <c r="F8">
        <v>0</v>
      </c>
      <c r="G8" s="93" t="e">
        <f>(F8+F9)/(Kaikki!D3+Kaikki!D4)</f>
        <v>#DIV/0!</v>
      </c>
      <c r="H8">
        <v>0</v>
      </c>
      <c r="I8" s="93">
        <f>(H8+H9)/(Kaikki!E3+Kaikki!E4)</f>
        <v>0</v>
      </c>
      <c r="J8">
        <v>0</v>
      </c>
      <c r="K8" s="93" t="e">
        <f>(J8+J9)/(Kaikki!F3+Kaikki!F4)</f>
        <v>#DIV/0!</v>
      </c>
      <c r="L8">
        <v>1</v>
      </c>
      <c r="M8" s="93">
        <f>(L8+L9)/(Kaikki!G3+Kaikki!G4)</f>
        <v>0.2</v>
      </c>
      <c r="N8">
        <f t="shared" si="1"/>
        <v>1</v>
      </c>
      <c r="O8" s="93">
        <f>(N8+N9)/(Kaikki!H3+Kaikki!H4)</f>
        <v>2.7777777777777776E-2</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f>SUM(B8:B9)/B7</f>
        <v>0</v>
      </c>
      <c r="D10" s="92">
        <f>SUM(D8:D9)/D7</f>
        <v>0</v>
      </c>
      <c r="F10" s="92" t="e">
        <f>SUM(F8:F9)/F7</f>
        <v>#DIV/0!</v>
      </c>
      <c r="H10" s="92" t="e">
        <f>SUM(H8:H9)/H7</f>
        <v>#DIV/0!</v>
      </c>
      <c r="J10" s="92" t="e">
        <f>SUM(J8:J9)/J7</f>
        <v>#DIV/0!</v>
      </c>
      <c r="L10" s="92">
        <f>SUM(L8:L9)/L7</f>
        <v>1</v>
      </c>
      <c r="N10" s="92">
        <f>SUM(N8:N9)/N7</f>
        <v>0.33333333333333331</v>
      </c>
    </row>
  </sheetData>
  <mergeCells count="14">
    <mergeCell ref="O3:O4"/>
    <mergeCell ref="O8:O9"/>
    <mergeCell ref="I3:I4"/>
    <mergeCell ref="I8:I9"/>
    <mergeCell ref="K3:K4"/>
    <mergeCell ref="K8:K9"/>
    <mergeCell ref="M3:M4"/>
    <mergeCell ref="M8:M9"/>
    <mergeCell ref="C3:C4"/>
    <mergeCell ref="C8:C9"/>
    <mergeCell ref="E3:E4"/>
    <mergeCell ref="E8:E9"/>
    <mergeCell ref="G3:G4"/>
    <mergeCell ref="G8:G9"/>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O10"/>
  <sheetViews>
    <sheetView workbookViewId="0"/>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201</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1</v>
      </c>
      <c r="C2" s="92">
        <f>B2/Kaikki!B2</f>
        <v>0.16666666666666666</v>
      </c>
      <c r="D2">
        <v>9</v>
      </c>
      <c r="E2" s="92">
        <f>D2/Kaikki!C2</f>
        <v>0.25</v>
      </c>
      <c r="F2">
        <v>0</v>
      </c>
      <c r="G2" s="92">
        <f>F2/Kaikki!D2</f>
        <v>0</v>
      </c>
      <c r="H2">
        <v>0</v>
      </c>
      <c r="I2" s="92">
        <f>H2/Kaikki!E2</f>
        <v>0</v>
      </c>
      <c r="J2">
        <v>0</v>
      </c>
      <c r="K2" s="92">
        <f>J2/Kaikki!F2</f>
        <v>0</v>
      </c>
      <c r="L2">
        <v>0</v>
      </c>
      <c r="M2" s="92">
        <f>L2/Kaikki!G2</f>
        <v>0</v>
      </c>
      <c r="N2">
        <f t="shared" ref="N2:N4" si="0">SUM(B2,D2,F2,H2,J2,L2)</f>
        <v>10</v>
      </c>
      <c r="O2" s="92">
        <f>N2/Kaikki!H2</f>
        <v>0.15873015873015872</v>
      </c>
    </row>
    <row r="3" spans="1:15" x14ac:dyDescent="0.2">
      <c r="A3" t="s">
        <v>190</v>
      </c>
      <c r="B3">
        <v>1</v>
      </c>
      <c r="C3" s="93">
        <f>(B3+B4)/(Kaikki!B3+Kaikki!B4)</f>
        <v>0.25</v>
      </c>
      <c r="D3">
        <v>7</v>
      </c>
      <c r="E3" s="93">
        <f>(D3+D4)/(Kaikki!C3+Kaikki!C4)</f>
        <v>0.29166666666666669</v>
      </c>
      <c r="F3">
        <v>0</v>
      </c>
      <c r="G3" s="93" t="e">
        <f>(F3+F4)/(Kaikki!D3+Kaikki!D4)</f>
        <v>#DIV/0!</v>
      </c>
      <c r="H3">
        <v>0</v>
      </c>
      <c r="I3" s="93">
        <f>(H3+H4)/(Kaikki!E3+Kaikki!E4)</f>
        <v>0</v>
      </c>
      <c r="J3">
        <v>0</v>
      </c>
      <c r="K3" s="93" t="e">
        <f>(J3+J4)/(Kaikki!F3+Kaikki!F4)</f>
        <v>#DIV/0!</v>
      </c>
      <c r="L3">
        <v>0</v>
      </c>
      <c r="M3" s="93">
        <f>(L3+L4)/(Kaikki!G3+Kaikki!G4)</f>
        <v>0</v>
      </c>
      <c r="N3">
        <f t="shared" si="0"/>
        <v>8</v>
      </c>
      <c r="O3" s="93">
        <f>(N3+N4)/(Kaikki!H3+Kaikki!H4)</f>
        <v>0.22222222222222221</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f>SUM(B3:B4)/B2</f>
        <v>1</v>
      </c>
      <c r="D5" s="92">
        <f>SUM(D3:D4)/D2</f>
        <v>0.77777777777777779</v>
      </c>
      <c r="F5" s="92" t="e">
        <f>SUM(F3:F4)/F2</f>
        <v>#DIV/0!</v>
      </c>
      <c r="H5" s="92" t="e">
        <f>SUM(H3:H4)/H2</f>
        <v>#DIV/0!</v>
      </c>
      <c r="J5" s="92" t="e">
        <f>SUM(J3:J4)/J2</f>
        <v>#DIV/0!</v>
      </c>
      <c r="L5" s="92" t="e">
        <f>SUM(L3:L4)/L2</f>
        <v>#DIV/0!</v>
      </c>
      <c r="N5" s="92">
        <f>SUM(N3:N4)/N2</f>
        <v>0.8</v>
      </c>
    </row>
    <row r="7" spans="1:15" x14ac:dyDescent="0.2">
      <c r="A7" t="s">
        <v>197</v>
      </c>
      <c r="B7">
        <v>1</v>
      </c>
      <c r="C7" s="92">
        <f>B7/Kaikki!B2</f>
        <v>0.16666666666666666</v>
      </c>
      <c r="D7">
        <v>5</v>
      </c>
      <c r="E7" s="92">
        <f>D7/Kaikki!C2</f>
        <v>0.1388888888888889</v>
      </c>
      <c r="F7">
        <v>0</v>
      </c>
      <c r="G7" s="92">
        <f>F7/Kaikki!D2</f>
        <v>0</v>
      </c>
      <c r="H7">
        <v>0</v>
      </c>
      <c r="I7" s="92">
        <f>H7/Kaikki!E2</f>
        <v>0</v>
      </c>
      <c r="J7">
        <v>0</v>
      </c>
      <c r="K7" s="92">
        <f>J7/Kaikki!F2</f>
        <v>0</v>
      </c>
      <c r="L7">
        <v>1</v>
      </c>
      <c r="M7" s="92">
        <f>L7/Kaikki!G2</f>
        <v>0.14285714285714285</v>
      </c>
      <c r="N7">
        <f t="shared" ref="N7:N9" si="1">SUM(B7,D7,F7,H7,J7,L7)</f>
        <v>7</v>
      </c>
      <c r="O7" s="92">
        <f>N7/Kaikki!H2</f>
        <v>0.1111111111111111</v>
      </c>
    </row>
    <row r="8" spans="1:15" x14ac:dyDescent="0.2">
      <c r="A8" t="s">
        <v>198</v>
      </c>
      <c r="B8">
        <v>1</v>
      </c>
      <c r="C8" s="93">
        <f>(B8+B9)/(Kaikki!B3+Kaikki!B4)</f>
        <v>0.25</v>
      </c>
      <c r="D8">
        <v>4</v>
      </c>
      <c r="E8" s="93">
        <f>(D8+D9)/(Kaikki!C3+Kaikki!C4)</f>
        <v>0.16666666666666666</v>
      </c>
      <c r="F8">
        <v>0</v>
      </c>
      <c r="G8" s="93" t="e">
        <f>(F8+F9)/(Kaikki!D3+Kaikki!D4)</f>
        <v>#DIV/0!</v>
      </c>
      <c r="H8">
        <v>0</v>
      </c>
      <c r="I8" s="93">
        <f>(H8+H9)/(Kaikki!E3+Kaikki!E4)</f>
        <v>0</v>
      </c>
      <c r="J8">
        <v>0</v>
      </c>
      <c r="K8" s="93" t="e">
        <f>(J8+J9)/(Kaikki!F3+Kaikki!F4)</f>
        <v>#DIV/0!</v>
      </c>
      <c r="L8">
        <v>1</v>
      </c>
      <c r="M8" s="93">
        <f>(L8+L9)/(Kaikki!G3+Kaikki!G4)</f>
        <v>0.2</v>
      </c>
      <c r="N8">
        <f t="shared" si="1"/>
        <v>6</v>
      </c>
      <c r="O8" s="93">
        <f>(N8+N9)/(Kaikki!H3+Kaikki!H4)</f>
        <v>0.16666666666666666</v>
      </c>
    </row>
    <row r="9" spans="1:15" x14ac:dyDescent="0.2">
      <c r="A9" t="s">
        <v>199</v>
      </c>
      <c r="B9">
        <v>0</v>
      </c>
      <c r="C9" s="93"/>
      <c r="D9">
        <v>0</v>
      </c>
      <c r="E9" s="93"/>
      <c r="F9">
        <v>0</v>
      </c>
      <c r="G9" s="93"/>
      <c r="H9">
        <v>0</v>
      </c>
      <c r="I9" s="93"/>
      <c r="J9">
        <v>0</v>
      </c>
      <c r="K9" s="93"/>
      <c r="L9">
        <v>0</v>
      </c>
      <c r="M9" s="93"/>
      <c r="N9">
        <f t="shared" si="1"/>
        <v>0</v>
      </c>
      <c r="O9" s="93"/>
    </row>
    <row r="10" spans="1:15" x14ac:dyDescent="0.2">
      <c r="A10" t="s">
        <v>196</v>
      </c>
      <c r="B10" s="92">
        <f>SUM(B8:B9)/B7</f>
        <v>1</v>
      </c>
      <c r="D10" s="92">
        <f>SUM(D8:D9)/D7</f>
        <v>0.8</v>
      </c>
      <c r="F10" s="92" t="e">
        <f>SUM(F8:F9)/F7</f>
        <v>#DIV/0!</v>
      </c>
      <c r="H10" s="92" t="e">
        <f>SUM(H8:H9)/H7</f>
        <v>#DIV/0!</v>
      </c>
      <c r="J10" s="92" t="e">
        <f>SUM(J8:J9)/J7</f>
        <v>#DIV/0!</v>
      </c>
      <c r="L10" s="92">
        <f>SUM(L8:L9)/L7</f>
        <v>1</v>
      </c>
      <c r="N10" s="92">
        <f>SUM(N8:N9)/N7</f>
        <v>0.8571428571428571</v>
      </c>
    </row>
  </sheetData>
  <mergeCells count="14">
    <mergeCell ref="O3:O4"/>
    <mergeCell ref="O8:O9"/>
    <mergeCell ref="I3:I4"/>
    <mergeCell ref="I8:I9"/>
    <mergeCell ref="K3:K4"/>
    <mergeCell ref="K8:K9"/>
    <mergeCell ref="M3:M4"/>
    <mergeCell ref="M8:M9"/>
    <mergeCell ref="C3:C4"/>
    <mergeCell ref="C8:C9"/>
    <mergeCell ref="E3:E4"/>
    <mergeCell ref="E8:E9"/>
    <mergeCell ref="G3:G4"/>
    <mergeCell ref="G8:G9"/>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O10"/>
  <sheetViews>
    <sheetView workbookViewId="0">
      <selection activeCell="K17" sqref="K17"/>
    </sheetView>
  </sheetViews>
  <sheetFormatPr defaultRowHeight="12.75" x14ac:dyDescent="0.2"/>
  <cols>
    <col min="1" max="1" width="24.28515625" bestFit="1" customWidth="1"/>
    <col min="3" max="3" width="9.140625" style="92"/>
    <col min="5" max="5" width="9.140625" style="92"/>
    <col min="7" max="7" width="9.140625" style="92"/>
    <col min="9" max="9" width="9.140625" style="92"/>
    <col min="11" max="11" width="9.140625" style="92"/>
    <col min="13" max="13" width="9.140625" style="92"/>
    <col min="15" max="15" width="9.140625" style="92"/>
  </cols>
  <sheetData>
    <row r="1" spans="1:15" x14ac:dyDescent="0.2">
      <c r="A1" t="s">
        <v>200</v>
      </c>
      <c r="B1" t="s">
        <v>183</v>
      </c>
      <c r="C1" s="92" t="s">
        <v>217</v>
      </c>
      <c r="D1" t="s">
        <v>184</v>
      </c>
      <c r="E1" s="92" t="s">
        <v>217</v>
      </c>
      <c r="F1" t="s">
        <v>187</v>
      </c>
      <c r="G1" s="92" t="s">
        <v>217</v>
      </c>
      <c r="H1" t="s">
        <v>188</v>
      </c>
      <c r="I1" s="92" t="s">
        <v>217</v>
      </c>
      <c r="J1" t="s">
        <v>189</v>
      </c>
      <c r="K1" s="92" t="s">
        <v>217</v>
      </c>
      <c r="L1" t="s">
        <v>185</v>
      </c>
      <c r="M1" s="92" t="s">
        <v>217</v>
      </c>
      <c r="N1" t="s">
        <v>195</v>
      </c>
      <c r="O1" s="92" t="s">
        <v>217</v>
      </c>
    </row>
    <row r="2" spans="1:15" x14ac:dyDescent="0.2">
      <c r="A2" t="s">
        <v>186</v>
      </c>
      <c r="B2">
        <v>1</v>
      </c>
      <c r="C2" s="92">
        <f>B2/Kaikki!B2</f>
        <v>0.16666666666666666</v>
      </c>
      <c r="D2">
        <v>5</v>
      </c>
      <c r="E2" s="92">
        <f>D2/Kaikki!C2</f>
        <v>0.1388888888888889</v>
      </c>
      <c r="F2">
        <v>0</v>
      </c>
      <c r="G2" s="92">
        <f>F2/Kaikki!D2</f>
        <v>0</v>
      </c>
      <c r="H2">
        <v>0</v>
      </c>
      <c r="I2" s="92">
        <f>H2/Kaikki!E2</f>
        <v>0</v>
      </c>
      <c r="J2">
        <v>0</v>
      </c>
      <c r="K2" s="92">
        <f>J2/Kaikki!F2</f>
        <v>0</v>
      </c>
      <c r="L2">
        <v>4</v>
      </c>
      <c r="M2" s="92">
        <f>L2/Kaikki!G2</f>
        <v>0.5714285714285714</v>
      </c>
      <c r="N2">
        <f t="shared" ref="N2:N4" si="0">SUM(B2,D2,F2,H2,J2,L2)</f>
        <v>10</v>
      </c>
      <c r="O2" s="92">
        <f>N2/Kaikki!H2</f>
        <v>0.15873015873015872</v>
      </c>
    </row>
    <row r="3" spans="1:15" x14ac:dyDescent="0.2">
      <c r="A3" t="s">
        <v>190</v>
      </c>
      <c r="B3">
        <v>1</v>
      </c>
      <c r="C3" s="93">
        <f>(B3+B4)/(Kaikki!B3+Kaikki!B4)</f>
        <v>0.25</v>
      </c>
      <c r="D3">
        <v>3</v>
      </c>
      <c r="E3" s="93">
        <f>(D3+D4)/(Kaikki!C3+Kaikki!C4)</f>
        <v>0.125</v>
      </c>
      <c r="F3">
        <v>0</v>
      </c>
      <c r="G3" s="93" t="e">
        <f>(F3+F4)/(Kaikki!D3+Kaikki!D4)</f>
        <v>#DIV/0!</v>
      </c>
      <c r="H3">
        <v>0</v>
      </c>
      <c r="I3" s="93">
        <f>(H3+H4)/(Kaikki!E3+Kaikki!E4)</f>
        <v>0</v>
      </c>
      <c r="J3">
        <v>0</v>
      </c>
      <c r="K3" s="93" t="e">
        <f>(J3+J4)/(Kaikki!F3+Kaikki!F4)</f>
        <v>#DIV/0!</v>
      </c>
      <c r="L3">
        <v>3</v>
      </c>
      <c r="M3" s="93">
        <f>(L3+L4)/(Kaikki!G3+Kaikki!G4)</f>
        <v>0.6</v>
      </c>
      <c r="N3">
        <f t="shared" si="0"/>
        <v>7</v>
      </c>
      <c r="O3" s="93">
        <f>(N3+N4)/(Kaikki!H3+Kaikki!H4)</f>
        <v>0.19444444444444445</v>
      </c>
    </row>
    <row r="4" spans="1:15" x14ac:dyDescent="0.2">
      <c r="A4" t="s">
        <v>191</v>
      </c>
      <c r="B4">
        <v>0</v>
      </c>
      <c r="C4" s="93"/>
      <c r="D4">
        <v>0</v>
      </c>
      <c r="E4" s="93"/>
      <c r="F4">
        <v>0</v>
      </c>
      <c r="G4" s="93"/>
      <c r="H4">
        <v>0</v>
      </c>
      <c r="I4" s="93"/>
      <c r="J4">
        <v>0</v>
      </c>
      <c r="K4" s="93"/>
      <c r="L4">
        <v>0</v>
      </c>
      <c r="M4" s="93"/>
      <c r="N4">
        <f t="shared" si="0"/>
        <v>0</v>
      </c>
      <c r="O4" s="93"/>
    </row>
    <row r="5" spans="1:15" x14ac:dyDescent="0.2">
      <c r="A5" t="s">
        <v>196</v>
      </c>
      <c r="B5" s="92">
        <f>SUM(B3:B4)/B2</f>
        <v>1</v>
      </c>
      <c r="D5" s="92">
        <f>SUM(D3:D4)/D2</f>
        <v>0.6</v>
      </c>
      <c r="F5" s="92" t="e">
        <f>SUM(F3:F4)/F2</f>
        <v>#DIV/0!</v>
      </c>
      <c r="H5" s="92" t="e">
        <f>SUM(H3:H4)/H2</f>
        <v>#DIV/0!</v>
      </c>
      <c r="J5" s="92" t="e">
        <f>SUM(J3:J4)/J2</f>
        <v>#DIV/0!</v>
      </c>
      <c r="L5" s="92">
        <f>SUM(L3:L4)/L2</f>
        <v>0.75</v>
      </c>
      <c r="N5" s="92">
        <f>SUM(N3:N4)/N2</f>
        <v>0.7</v>
      </c>
    </row>
    <row r="7" spans="1:15" x14ac:dyDescent="0.2">
      <c r="A7" t="s">
        <v>197</v>
      </c>
      <c r="B7">
        <v>2</v>
      </c>
      <c r="C7" s="92">
        <f>B7/Kaikki!B2</f>
        <v>0.33333333333333331</v>
      </c>
      <c r="D7">
        <v>8</v>
      </c>
      <c r="E7" s="92">
        <f>D7/Kaikki!C2</f>
        <v>0.22222222222222221</v>
      </c>
      <c r="F7">
        <v>0</v>
      </c>
      <c r="G7" s="92">
        <f>F7/Kaikki!D2</f>
        <v>0</v>
      </c>
      <c r="H7">
        <v>1</v>
      </c>
      <c r="I7" s="92">
        <f>H7/Kaikki!E2</f>
        <v>9.0909090909090912E-2</v>
      </c>
      <c r="J7">
        <v>0</v>
      </c>
      <c r="K7" s="92">
        <f>J7/Kaikki!F2</f>
        <v>0</v>
      </c>
      <c r="L7">
        <v>2</v>
      </c>
      <c r="M7" s="92">
        <f>L7/Kaikki!G2</f>
        <v>0.2857142857142857</v>
      </c>
      <c r="N7">
        <f t="shared" ref="N7:N9" si="1">SUM(B7,D7,F7,H7,J7,L7)</f>
        <v>13</v>
      </c>
      <c r="O7" s="92">
        <f>N7/Kaikki!H2</f>
        <v>0.20634920634920634</v>
      </c>
    </row>
    <row r="8" spans="1:15" x14ac:dyDescent="0.2">
      <c r="A8" t="s">
        <v>198</v>
      </c>
      <c r="B8">
        <v>0</v>
      </c>
      <c r="C8" s="93">
        <f>(B8+B9)/(Kaikki!B3+Kaikki!B4)</f>
        <v>0.25</v>
      </c>
      <c r="D8">
        <v>3</v>
      </c>
      <c r="E8" s="93">
        <f>(D8+D9)/(Kaikki!C3+Kaikki!C4)</f>
        <v>0.125</v>
      </c>
      <c r="F8">
        <v>0</v>
      </c>
      <c r="G8" s="93" t="e">
        <f>(F8+F9)/(Kaikki!D3+Kaikki!D4)</f>
        <v>#DIV/0!</v>
      </c>
      <c r="H8">
        <v>0</v>
      </c>
      <c r="I8" s="93">
        <f>(H8+H9)/(Kaikki!E3+Kaikki!E4)</f>
        <v>0</v>
      </c>
      <c r="J8">
        <v>0</v>
      </c>
      <c r="K8" s="93" t="e">
        <f>(J8+J9)/(Kaikki!F3+Kaikki!F4)</f>
        <v>#DIV/0!</v>
      </c>
      <c r="L8">
        <v>1</v>
      </c>
      <c r="M8" s="93">
        <f>(L8+L9)/(Kaikki!G3+Kaikki!G4)</f>
        <v>0.2</v>
      </c>
      <c r="N8">
        <f t="shared" si="1"/>
        <v>4</v>
      </c>
      <c r="O8" s="93">
        <f>(N8+N9)/(Kaikki!H3+Kaikki!H4)</f>
        <v>0.1388888888888889</v>
      </c>
    </row>
    <row r="9" spans="1:15" x14ac:dyDescent="0.2">
      <c r="A9" t="s">
        <v>199</v>
      </c>
      <c r="B9">
        <v>1</v>
      </c>
      <c r="C9" s="93"/>
      <c r="D9">
        <v>0</v>
      </c>
      <c r="E9" s="93"/>
      <c r="F9">
        <v>0</v>
      </c>
      <c r="G9" s="93"/>
      <c r="H9">
        <v>0</v>
      </c>
      <c r="I9" s="93"/>
      <c r="J9">
        <v>0</v>
      </c>
      <c r="K9" s="93"/>
      <c r="L9">
        <v>0</v>
      </c>
      <c r="M9" s="93"/>
      <c r="N9">
        <f t="shared" si="1"/>
        <v>1</v>
      </c>
      <c r="O9" s="93"/>
    </row>
    <row r="10" spans="1:15" x14ac:dyDescent="0.2">
      <c r="A10" t="s">
        <v>196</v>
      </c>
      <c r="B10" s="92">
        <f>SUM(B8:B9)/B7</f>
        <v>0.5</v>
      </c>
      <c r="D10" s="92">
        <f>SUM(D8:D9)/D7</f>
        <v>0.375</v>
      </c>
      <c r="F10" s="92" t="e">
        <f>SUM(F8:F9)/F7</f>
        <v>#DIV/0!</v>
      </c>
      <c r="H10" s="92">
        <f>SUM(H8:H9)/H7</f>
        <v>0</v>
      </c>
      <c r="J10" s="92" t="e">
        <f>SUM(J8:J9)/J7</f>
        <v>#DIV/0!</v>
      </c>
      <c r="L10" s="92">
        <f>SUM(L8:L9)/L7</f>
        <v>0.5</v>
      </c>
      <c r="N10" s="92">
        <f>SUM(N8:N9)/N7</f>
        <v>0.38461538461538464</v>
      </c>
    </row>
  </sheetData>
  <mergeCells count="14">
    <mergeCell ref="O3:O4"/>
    <mergeCell ref="O8:O9"/>
    <mergeCell ref="I3:I4"/>
    <mergeCell ref="I8:I9"/>
    <mergeCell ref="K3:K4"/>
    <mergeCell ref="K8:K9"/>
    <mergeCell ref="M3:M4"/>
    <mergeCell ref="M8:M9"/>
    <mergeCell ref="C3:C4"/>
    <mergeCell ref="C8:C9"/>
    <mergeCell ref="E3:E4"/>
    <mergeCell ref="E8:E9"/>
    <mergeCell ref="G3:G4"/>
    <mergeCell ref="G8:G9"/>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857"/>
  <sheetViews>
    <sheetView topLeftCell="A50" zoomScale="150" zoomScaleNormal="150" workbookViewId="0">
      <selection activeCell="E1" sqref="E1"/>
    </sheetView>
  </sheetViews>
  <sheetFormatPr defaultRowHeight="11.25" x14ac:dyDescent="0.2"/>
  <cols>
    <col min="1" max="1" width="6.28515625" style="1" customWidth="1"/>
    <col min="2" max="2" width="9.7109375" style="46" customWidth="1"/>
    <col min="3" max="3" width="10.28515625" style="46" customWidth="1"/>
    <col min="4" max="4" width="6" style="2" customWidth="1"/>
    <col min="5" max="5" width="49.140625" style="3" customWidth="1"/>
    <col min="6" max="6" width="5.28515625" style="3" customWidth="1"/>
    <col min="7" max="7" width="9.140625" style="2"/>
    <col min="8" max="8" width="9.140625" style="2" customWidth="1"/>
    <col min="9" max="9" width="9.85546875" style="57" customWidth="1"/>
    <col min="10" max="16384" width="9.140625" style="2"/>
  </cols>
  <sheetData>
    <row r="1" spans="1:9" s="7" customFormat="1" ht="12.75" x14ac:dyDescent="0.2">
      <c r="A1" s="4"/>
      <c r="B1" s="51"/>
      <c r="C1" s="51"/>
      <c r="D1" s="5"/>
      <c r="E1" s="68" t="s">
        <v>157</v>
      </c>
      <c r="F1" s="6"/>
      <c r="I1" s="55"/>
    </row>
    <row r="2" spans="1:9" s="5" customFormat="1" x14ac:dyDescent="0.2">
      <c r="A2" s="4"/>
      <c r="B2" s="51"/>
      <c r="C2" s="51"/>
      <c r="E2" s="8"/>
      <c r="F2" s="8"/>
      <c r="I2" s="56"/>
    </row>
    <row r="3" spans="1:9" s="5" customFormat="1" ht="33.75" x14ac:dyDescent="0.2">
      <c r="A3" s="4"/>
      <c r="B3" s="51"/>
      <c r="C3" s="51"/>
      <c r="E3" s="9" t="s">
        <v>159</v>
      </c>
      <c r="F3" s="8"/>
      <c r="I3" s="56"/>
    </row>
    <row r="4" spans="1:9" s="48" customFormat="1" x14ac:dyDescent="0.2">
      <c r="A4" s="47"/>
      <c r="B4" s="51"/>
      <c r="C4" s="51"/>
      <c r="E4" s="52"/>
      <c r="F4" s="51"/>
      <c r="I4" s="56"/>
    </row>
    <row r="5" spans="1:9" s="5" customFormat="1" x14ac:dyDescent="0.2">
      <c r="A5" s="4"/>
      <c r="B5" s="51"/>
      <c r="C5" s="51"/>
      <c r="E5" s="8"/>
      <c r="F5" s="8"/>
      <c r="I5" s="56"/>
    </row>
    <row r="6" spans="1:9" s="7" customFormat="1" ht="22.5" x14ac:dyDescent="0.2">
      <c r="A6" s="10" t="s">
        <v>0</v>
      </c>
      <c r="B6" s="49" t="s">
        <v>3</v>
      </c>
      <c r="C6" s="49" t="s">
        <v>4</v>
      </c>
      <c r="D6" s="7" t="s">
        <v>1</v>
      </c>
      <c r="E6" s="6" t="s">
        <v>2</v>
      </c>
      <c r="F6" s="6" t="s">
        <v>5</v>
      </c>
      <c r="G6" s="7" t="s">
        <v>6</v>
      </c>
      <c r="H6" s="7" t="s">
        <v>7</v>
      </c>
      <c r="I6" s="61" t="s">
        <v>10</v>
      </c>
    </row>
    <row r="7" spans="1:9" x14ac:dyDescent="0.2">
      <c r="I7" s="62"/>
    </row>
    <row r="8" spans="1:9" ht="12.75" x14ac:dyDescent="0.2">
      <c r="A8" s="40" t="s">
        <v>156</v>
      </c>
      <c r="B8" s="49"/>
      <c r="C8" s="49"/>
      <c r="D8" s="50"/>
      <c r="F8" s="49"/>
      <c r="G8" s="50"/>
      <c r="H8" s="50"/>
      <c r="I8" s="55"/>
    </row>
    <row r="9" spans="1:9" x14ac:dyDescent="0.2">
      <c r="A9" s="44"/>
      <c r="D9" s="45"/>
      <c r="E9" s="46"/>
      <c r="F9" s="50"/>
      <c r="G9" s="49"/>
      <c r="H9" s="50"/>
      <c r="I9" s="55"/>
    </row>
    <row r="10" spans="1:9" ht="45" x14ac:dyDescent="0.2">
      <c r="A10" s="44">
        <v>206</v>
      </c>
      <c r="B10" s="46" t="s">
        <v>122</v>
      </c>
      <c r="C10" s="46" t="s">
        <v>123</v>
      </c>
      <c r="D10" s="45" t="s">
        <v>16</v>
      </c>
      <c r="E10" s="46" t="s">
        <v>124</v>
      </c>
      <c r="F10" s="46" t="s">
        <v>8</v>
      </c>
      <c r="G10" s="46" t="s">
        <v>136</v>
      </c>
      <c r="H10" s="45"/>
      <c r="I10" s="57">
        <v>7</v>
      </c>
    </row>
    <row r="11" spans="1:9" s="45" customFormat="1" ht="45" x14ac:dyDescent="0.2">
      <c r="A11" s="44">
        <v>206</v>
      </c>
      <c r="B11" s="46" t="s">
        <v>137</v>
      </c>
      <c r="C11" s="46"/>
      <c r="D11" s="45" t="s">
        <v>16</v>
      </c>
      <c r="E11" s="49" t="s">
        <v>138</v>
      </c>
      <c r="F11" s="46" t="s">
        <v>135</v>
      </c>
      <c r="G11" s="46" t="s">
        <v>8</v>
      </c>
      <c r="H11" s="45" t="s">
        <v>8</v>
      </c>
      <c r="I11" s="57">
        <v>7</v>
      </c>
    </row>
    <row r="12" spans="1:9" ht="45" x14ac:dyDescent="0.2">
      <c r="A12" s="44" t="s">
        <v>125</v>
      </c>
      <c r="B12" s="46" t="s">
        <v>122</v>
      </c>
      <c r="C12" s="49" t="s">
        <v>126</v>
      </c>
      <c r="D12" s="45" t="s">
        <v>11</v>
      </c>
      <c r="E12" s="46" t="s">
        <v>139</v>
      </c>
      <c r="F12" s="46" t="s">
        <v>8</v>
      </c>
      <c r="G12" s="46" t="s">
        <v>136</v>
      </c>
      <c r="H12" s="45"/>
      <c r="I12" s="57">
        <v>7</v>
      </c>
    </row>
    <row r="13" spans="1:9" s="45" customFormat="1" ht="33.75" x14ac:dyDescent="0.2">
      <c r="A13" s="44" t="s">
        <v>125</v>
      </c>
      <c r="B13" s="46" t="s">
        <v>137</v>
      </c>
      <c r="C13" s="46"/>
      <c r="D13" s="45" t="s">
        <v>11</v>
      </c>
      <c r="E13" s="46" t="s">
        <v>140</v>
      </c>
      <c r="F13" s="46" t="s">
        <v>135</v>
      </c>
      <c r="G13" s="46" t="s">
        <v>8</v>
      </c>
      <c r="H13" s="45" t="s">
        <v>8</v>
      </c>
      <c r="I13" s="57">
        <v>7</v>
      </c>
    </row>
    <row r="14" spans="1:9" ht="33.75" x14ac:dyDescent="0.2">
      <c r="A14" s="44" t="s">
        <v>125</v>
      </c>
      <c r="B14" s="46" t="s">
        <v>127</v>
      </c>
      <c r="C14" s="49" t="s">
        <v>126</v>
      </c>
      <c r="D14" s="45" t="s">
        <v>16</v>
      </c>
      <c r="E14" s="46" t="s">
        <v>141</v>
      </c>
      <c r="F14" s="46" t="s">
        <v>8</v>
      </c>
      <c r="G14" s="46" t="s">
        <v>9</v>
      </c>
      <c r="H14" s="45" t="s">
        <v>9</v>
      </c>
      <c r="I14" s="57">
        <v>7</v>
      </c>
    </row>
    <row r="15" spans="1:9" ht="45" x14ac:dyDescent="0.2">
      <c r="A15" s="44">
        <v>209</v>
      </c>
      <c r="B15" s="49" t="s">
        <v>126</v>
      </c>
      <c r="C15" s="46" t="s">
        <v>127</v>
      </c>
      <c r="D15" s="45" t="s">
        <v>16</v>
      </c>
      <c r="E15" s="46" t="s">
        <v>128</v>
      </c>
      <c r="F15" s="46" t="s">
        <v>8</v>
      </c>
      <c r="G15" s="46" t="s">
        <v>9</v>
      </c>
      <c r="H15" s="45" t="s">
        <v>8</v>
      </c>
      <c r="I15" s="57">
        <v>7</v>
      </c>
    </row>
    <row r="16" spans="1:9" ht="67.5" x14ac:dyDescent="0.2">
      <c r="A16" s="44" t="s">
        <v>129</v>
      </c>
      <c r="B16" s="46" t="s">
        <v>123</v>
      </c>
      <c r="C16" s="46" t="s">
        <v>130</v>
      </c>
      <c r="D16" s="45" t="s">
        <v>11</v>
      </c>
      <c r="E16" s="46" t="s">
        <v>131</v>
      </c>
      <c r="F16" s="46" t="s">
        <v>9</v>
      </c>
      <c r="G16" s="46" t="s">
        <v>9</v>
      </c>
      <c r="H16" s="45" t="s">
        <v>9</v>
      </c>
      <c r="I16" s="57">
        <v>7</v>
      </c>
    </row>
    <row r="17" spans="1:9" s="22" customFormat="1" ht="34.5" thickBot="1" x14ac:dyDescent="0.25">
      <c r="A17" s="21">
        <v>229</v>
      </c>
      <c r="B17" s="23" t="s">
        <v>132</v>
      </c>
      <c r="C17" s="23" t="s">
        <v>133</v>
      </c>
      <c r="D17" s="22" t="s">
        <v>16</v>
      </c>
      <c r="E17" s="23" t="s">
        <v>134</v>
      </c>
      <c r="F17" s="23" t="s">
        <v>8</v>
      </c>
      <c r="G17" s="23" t="s">
        <v>8</v>
      </c>
      <c r="H17" s="22" t="s">
        <v>8</v>
      </c>
      <c r="I17" s="58">
        <v>7</v>
      </c>
    </row>
    <row r="18" spans="1:9" s="20" customFormat="1" ht="12.75" x14ac:dyDescent="0.2">
      <c r="A18" s="24"/>
      <c r="B18" s="25"/>
      <c r="C18" s="25"/>
      <c r="E18" s="25"/>
      <c r="F18" s="25"/>
      <c r="G18" s="43"/>
      <c r="H18" s="43"/>
      <c r="I18" s="59"/>
    </row>
    <row r="19" spans="1:9" s="45" customFormat="1" ht="12.75" x14ac:dyDescent="0.2">
      <c r="A19" s="40" t="s">
        <v>155</v>
      </c>
      <c r="B19" s="46"/>
      <c r="C19" s="46"/>
      <c r="E19" s="46"/>
      <c r="F19" s="46"/>
      <c r="G19" s="43"/>
      <c r="H19" s="43"/>
      <c r="I19" s="57"/>
    </row>
    <row r="20" spans="1:9" s="45" customFormat="1" ht="12.75" x14ac:dyDescent="0.2">
      <c r="A20" s="40"/>
      <c r="B20" s="46"/>
      <c r="C20" s="46"/>
      <c r="E20" s="46"/>
      <c r="F20" s="46"/>
      <c r="G20" s="43"/>
      <c r="H20" s="43"/>
      <c r="I20" s="57"/>
    </row>
    <row r="21" spans="1:9" ht="45" x14ac:dyDescent="0.2">
      <c r="A21" s="1">
        <v>22</v>
      </c>
      <c r="B21" s="46" t="s">
        <v>88</v>
      </c>
      <c r="C21" s="49" t="s">
        <v>93</v>
      </c>
      <c r="D21" s="2" t="s">
        <v>11</v>
      </c>
      <c r="E21" s="13" t="s">
        <v>17</v>
      </c>
      <c r="F21" s="3" t="s">
        <v>9</v>
      </c>
      <c r="G21" s="2" t="s">
        <v>21</v>
      </c>
      <c r="I21" s="57">
        <v>8</v>
      </c>
    </row>
    <row r="22" spans="1:9" s="72" customFormat="1" ht="22.5" x14ac:dyDescent="0.2">
      <c r="A22" s="70">
        <v>31</v>
      </c>
      <c r="B22" s="71" t="s">
        <v>94</v>
      </c>
      <c r="C22" s="84" t="s">
        <v>93</v>
      </c>
      <c r="D22" s="72" t="s">
        <v>16</v>
      </c>
      <c r="E22" s="73" t="s">
        <v>18</v>
      </c>
      <c r="F22" s="46" t="s">
        <v>8</v>
      </c>
      <c r="G22" s="72" t="s">
        <v>9</v>
      </c>
      <c r="H22" s="72" t="s">
        <v>8</v>
      </c>
      <c r="I22" s="74">
        <v>8</v>
      </c>
    </row>
    <row r="23" spans="1:9" s="77" customFormat="1" ht="78.75" x14ac:dyDescent="0.2">
      <c r="A23" s="70">
        <v>31</v>
      </c>
      <c r="B23" s="85" t="s">
        <v>93</v>
      </c>
      <c r="C23" s="70" t="s">
        <v>94</v>
      </c>
      <c r="D23" s="70" t="s">
        <v>16</v>
      </c>
      <c r="E23" s="79" t="s">
        <v>20</v>
      </c>
      <c r="F23" s="46" t="s">
        <v>8</v>
      </c>
      <c r="G23" s="77" t="s">
        <v>9</v>
      </c>
      <c r="H23" s="77" t="s">
        <v>8</v>
      </c>
      <c r="I23" s="78">
        <v>8</v>
      </c>
    </row>
    <row r="24" spans="1:9" s="20" customFormat="1" ht="33.75" x14ac:dyDescent="0.2">
      <c r="A24" s="24">
        <v>32</v>
      </c>
      <c r="B24" s="86" t="s">
        <v>93</v>
      </c>
      <c r="C24" s="25" t="s">
        <v>160</v>
      </c>
      <c r="D24" s="20" t="s">
        <v>11</v>
      </c>
      <c r="E24" s="75" t="s">
        <v>161</v>
      </c>
      <c r="F24" s="25"/>
      <c r="H24" s="20" t="s">
        <v>9</v>
      </c>
      <c r="I24" s="59"/>
    </row>
    <row r="25" spans="1:9" s="22" customFormat="1" ht="23.25" thickBot="1" x14ac:dyDescent="0.25">
      <c r="A25" s="21">
        <v>36</v>
      </c>
      <c r="B25" s="23" t="s">
        <v>88</v>
      </c>
      <c r="C25" s="87" t="s">
        <v>93</v>
      </c>
      <c r="D25" s="22" t="s">
        <v>11</v>
      </c>
      <c r="E25" s="37" t="s">
        <v>19</v>
      </c>
      <c r="F25" s="23" t="s">
        <v>9</v>
      </c>
      <c r="G25" s="22" t="s">
        <v>21</v>
      </c>
      <c r="H25" s="22" t="s">
        <v>9</v>
      </c>
      <c r="I25" s="58">
        <v>8</v>
      </c>
    </row>
    <row r="26" spans="1:9" s="20" customFormat="1" ht="22.5" x14ac:dyDescent="0.2">
      <c r="A26" s="17">
        <v>53</v>
      </c>
      <c r="B26" s="19" t="s">
        <v>110</v>
      </c>
      <c r="C26" s="19" t="s">
        <v>109</v>
      </c>
      <c r="D26" s="18" t="s">
        <v>16</v>
      </c>
      <c r="E26" s="19" t="s">
        <v>32</v>
      </c>
      <c r="F26" s="19" t="s">
        <v>8</v>
      </c>
      <c r="G26" s="20" t="s">
        <v>8</v>
      </c>
      <c r="H26" s="20" t="s">
        <v>8</v>
      </c>
      <c r="I26" s="59">
        <v>8</v>
      </c>
    </row>
    <row r="27" spans="1:9" ht="22.5" x14ac:dyDescent="0.2">
      <c r="A27" s="14">
        <v>55</v>
      </c>
      <c r="B27" s="16" t="s">
        <v>91</v>
      </c>
      <c r="C27" s="16" t="s">
        <v>95</v>
      </c>
      <c r="D27" s="15" t="s">
        <v>16</v>
      </c>
      <c r="E27" s="16" t="s">
        <v>33</v>
      </c>
      <c r="F27" s="16" t="s">
        <v>9</v>
      </c>
      <c r="G27" s="2" t="s">
        <v>21</v>
      </c>
      <c r="H27" s="45" t="s">
        <v>21</v>
      </c>
      <c r="I27" s="57">
        <v>8</v>
      </c>
    </row>
    <row r="28" spans="1:9" ht="22.5" x14ac:dyDescent="0.2">
      <c r="A28" s="14">
        <v>56</v>
      </c>
      <c r="B28" s="16" t="s">
        <v>92</v>
      </c>
      <c r="C28" s="16" t="s">
        <v>111</v>
      </c>
      <c r="D28" s="15" t="s">
        <v>11</v>
      </c>
      <c r="E28" s="16" t="s">
        <v>23</v>
      </c>
      <c r="F28" s="16" t="s">
        <v>8</v>
      </c>
      <c r="G28" s="2" t="s">
        <v>8</v>
      </c>
      <c r="H28" s="45" t="s">
        <v>8</v>
      </c>
      <c r="I28" s="57">
        <v>8</v>
      </c>
    </row>
    <row r="29" spans="1:9" ht="34.5" customHeight="1" x14ac:dyDescent="0.2">
      <c r="A29" s="14">
        <v>60</v>
      </c>
      <c r="B29" s="88" t="s">
        <v>113</v>
      </c>
      <c r="C29" s="16" t="s">
        <v>112</v>
      </c>
      <c r="D29" s="15" t="s">
        <v>16</v>
      </c>
      <c r="E29" s="16" t="s">
        <v>24</v>
      </c>
      <c r="F29" s="16" t="s">
        <v>8</v>
      </c>
      <c r="G29" s="2" t="s">
        <v>8</v>
      </c>
      <c r="H29" s="45" t="s">
        <v>8</v>
      </c>
      <c r="I29" s="57">
        <v>8</v>
      </c>
    </row>
    <row r="30" spans="1:9" s="22" customFormat="1" ht="23.25" thickBot="1" x14ac:dyDescent="0.25">
      <c r="A30" s="26">
        <v>63</v>
      </c>
      <c r="B30" s="28" t="s">
        <v>114</v>
      </c>
      <c r="C30" s="28" t="s">
        <v>113</v>
      </c>
      <c r="D30" s="27" t="s">
        <v>12</v>
      </c>
      <c r="E30" s="28" t="s">
        <v>26</v>
      </c>
      <c r="F30" s="28" t="s">
        <v>8</v>
      </c>
      <c r="G30" s="22" t="s">
        <v>9</v>
      </c>
      <c r="H30" s="22" t="s">
        <v>8</v>
      </c>
      <c r="I30" s="58">
        <v>8</v>
      </c>
    </row>
    <row r="31" spans="1:9" s="20" customFormat="1" ht="22.5" x14ac:dyDescent="0.2">
      <c r="A31" s="24" t="s">
        <v>40</v>
      </c>
      <c r="B31" s="86" t="s">
        <v>34</v>
      </c>
      <c r="C31" s="25" t="s">
        <v>108</v>
      </c>
      <c r="D31" s="20" t="s">
        <v>12</v>
      </c>
      <c r="E31" s="25" t="s">
        <v>35</v>
      </c>
      <c r="F31" s="25" t="s">
        <v>9</v>
      </c>
      <c r="G31" s="20" t="s">
        <v>21</v>
      </c>
      <c r="I31" s="59">
        <v>8</v>
      </c>
    </row>
    <row r="32" spans="1:9" ht="22.5" x14ac:dyDescent="0.2">
      <c r="A32" s="1">
        <v>67</v>
      </c>
      <c r="B32" s="46" t="s">
        <v>90</v>
      </c>
      <c r="C32" s="46" t="s">
        <v>107</v>
      </c>
      <c r="D32" s="2" t="s">
        <v>11</v>
      </c>
      <c r="E32" s="3" t="s">
        <v>42</v>
      </c>
      <c r="F32" s="3" t="s">
        <v>8</v>
      </c>
      <c r="G32" s="2" t="s">
        <v>9</v>
      </c>
      <c r="H32" s="45" t="s">
        <v>8</v>
      </c>
      <c r="I32" s="57">
        <v>8</v>
      </c>
    </row>
    <row r="33" spans="1:9" ht="118.5" customHeight="1" x14ac:dyDescent="0.2">
      <c r="A33" s="1">
        <v>68</v>
      </c>
      <c r="B33" s="46" t="s">
        <v>90</v>
      </c>
      <c r="C33" s="46" t="s">
        <v>99</v>
      </c>
      <c r="D33" s="2" t="s">
        <v>16</v>
      </c>
      <c r="E33" s="3" t="s">
        <v>36</v>
      </c>
      <c r="F33" s="3" t="s">
        <v>9</v>
      </c>
      <c r="G33" s="2" t="s">
        <v>21</v>
      </c>
      <c r="I33" s="57">
        <v>8</v>
      </c>
    </row>
    <row r="34" spans="1:9" ht="22.5" x14ac:dyDescent="0.2">
      <c r="A34" s="1">
        <v>68</v>
      </c>
      <c r="B34" s="46" t="s">
        <v>105</v>
      </c>
      <c r="C34" s="49" t="s">
        <v>104</v>
      </c>
      <c r="D34" s="2" t="s">
        <v>11</v>
      </c>
      <c r="E34" s="3" t="s">
        <v>37</v>
      </c>
      <c r="F34" s="3" t="s">
        <v>9</v>
      </c>
      <c r="G34" s="2" t="s">
        <v>21</v>
      </c>
      <c r="I34" s="57">
        <v>8</v>
      </c>
    </row>
    <row r="35" spans="1:9" ht="22.5" x14ac:dyDescent="0.2">
      <c r="A35" s="1" t="s">
        <v>41</v>
      </c>
      <c r="B35" s="46" t="s">
        <v>105</v>
      </c>
      <c r="C35" s="49" t="s">
        <v>104</v>
      </c>
      <c r="D35" s="2" t="s">
        <v>11</v>
      </c>
      <c r="E35" s="3" t="s">
        <v>38</v>
      </c>
      <c r="F35" s="3" t="s">
        <v>9</v>
      </c>
      <c r="G35" s="2" t="s">
        <v>21</v>
      </c>
      <c r="I35" s="57">
        <v>8</v>
      </c>
    </row>
    <row r="36" spans="1:9" ht="56.25" x14ac:dyDescent="0.2">
      <c r="A36" s="1" t="s">
        <v>43</v>
      </c>
      <c r="B36" s="46" t="s">
        <v>100</v>
      </c>
      <c r="C36" s="46" t="s">
        <v>101</v>
      </c>
      <c r="D36" s="2" t="s">
        <v>11</v>
      </c>
      <c r="E36" s="3" t="s">
        <v>44</v>
      </c>
      <c r="F36" s="3" t="s">
        <v>8</v>
      </c>
      <c r="G36" s="2" t="s">
        <v>8</v>
      </c>
      <c r="H36" s="45" t="s">
        <v>8</v>
      </c>
      <c r="I36" s="57">
        <v>8</v>
      </c>
    </row>
    <row r="37" spans="1:9" s="72" customFormat="1" ht="56.25" x14ac:dyDescent="0.2">
      <c r="A37" s="70">
        <v>76</v>
      </c>
      <c r="B37" s="71" t="s">
        <v>101</v>
      </c>
      <c r="C37" s="71" t="s">
        <v>106</v>
      </c>
      <c r="D37" s="72" t="s">
        <v>11</v>
      </c>
      <c r="E37" s="71" t="s">
        <v>45</v>
      </c>
      <c r="F37" s="71" t="s">
        <v>8</v>
      </c>
      <c r="G37" s="72" t="s">
        <v>8</v>
      </c>
      <c r="H37" s="72" t="s">
        <v>8</v>
      </c>
      <c r="I37" s="74">
        <v>8</v>
      </c>
    </row>
    <row r="38" spans="1:9" s="77" customFormat="1" ht="56.25" x14ac:dyDescent="0.2">
      <c r="A38" s="76" t="s">
        <v>46</v>
      </c>
      <c r="B38" s="52" t="s">
        <v>105</v>
      </c>
      <c r="C38" s="51" t="s">
        <v>104</v>
      </c>
      <c r="D38" s="77" t="s">
        <v>11</v>
      </c>
      <c r="E38" s="52" t="s">
        <v>39</v>
      </c>
      <c r="F38" s="52" t="s">
        <v>8</v>
      </c>
      <c r="G38" s="77" t="s">
        <v>9</v>
      </c>
      <c r="H38" s="77" t="s">
        <v>9</v>
      </c>
      <c r="I38" s="78">
        <v>8</v>
      </c>
    </row>
    <row r="39" spans="1:9" s="82" customFormat="1" ht="57" thickBot="1" x14ac:dyDescent="0.25">
      <c r="A39" s="80" t="s">
        <v>46</v>
      </c>
      <c r="B39" s="81" t="s">
        <v>162</v>
      </c>
      <c r="C39" s="90" t="s">
        <v>104</v>
      </c>
      <c r="D39" s="82" t="s">
        <v>11</v>
      </c>
      <c r="E39" s="81" t="s">
        <v>163</v>
      </c>
      <c r="F39" s="81"/>
      <c r="H39" s="82" t="s">
        <v>8</v>
      </c>
      <c r="I39" s="83"/>
    </row>
    <row r="40" spans="1:9" s="20" customFormat="1" ht="45" x14ac:dyDescent="0.2">
      <c r="A40" s="17" t="s">
        <v>27</v>
      </c>
      <c r="B40" s="19" t="s">
        <v>116</v>
      </c>
      <c r="C40" s="19" t="s">
        <v>114</v>
      </c>
      <c r="D40" s="18" t="s">
        <v>11</v>
      </c>
      <c r="E40" s="19" t="s">
        <v>47</v>
      </c>
      <c r="F40" s="19" t="s">
        <v>8</v>
      </c>
      <c r="G40" s="20" t="s">
        <v>8</v>
      </c>
      <c r="H40" s="20" t="s">
        <v>8</v>
      </c>
      <c r="I40" s="59">
        <v>8</v>
      </c>
    </row>
    <row r="41" spans="1:9" ht="22.5" x14ac:dyDescent="0.2">
      <c r="A41" s="14">
        <v>87</v>
      </c>
      <c r="B41" s="16" t="s">
        <v>118</v>
      </c>
      <c r="C41" s="16" t="s">
        <v>119</v>
      </c>
      <c r="D41" s="15" t="s">
        <v>22</v>
      </c>
      <c r="E41" s="16" t="s">
        <v>28</v>
      </c>
      <c r="F41" s="16" t="s">
        <v>9</v>
      </c>
      <c r="G41" s="2" t="s">
        <v>21</v>
      </c>
      <c r="I41" s="57">
        <v>8</v>
      </c>
    </row>
    <row r="42" spans="1:9" ht="33.75" x14ac:dyDescent="0.2">
      <c r="A42" s="14">
        <v>89</v>
      </c>
      <c r="B42" s="16" t="s">
        <v>111</v>
      </c>
      <c r="C42" s="16" t="s">
        <v>116</v>
      </c>
      <c r="D42" s="15" t="s">
        <v>48</v>
      </c>
      <c r="E42" s="19" t="s">
        <v>49</v>
      </c>
      <c r="F42" s="16" t="s">
        <v>8</v>
      </c>
      <c r="G42" s="2" t="s">
        <v>8</v>
      </c>
      <c r="H42" s="45" t="s">
        <v>8</v>
      </c>
      <c r="I42" s="57">
        <v>8</v>
      </c>
    </row>
    <row r="43" spans="1:9" ht="33.75" x14ac:dyDescent="0.2">
      <c r="A43" s="14" t="s">
        <v>29</v>
      </c>
      <c r="B43" s="16" t="s">
        <v>116</v>
      </c>
      <c r="C43" s="16" t="s">
        <v>114</v>
      </c>
      <c r="D43" s="15" t="s">
        <v>22</v>
      </c>
      <c r="E43" s="19" t="s">
        <v>50</v>
      </c>
      <c r="F43" s="16" t="s">
        <v>8</v>
      </c>
      <c r="G43" s="2" t="s">
        <v>8</v>
      </c>
      <c r="H43" s="45" t="s">
        <v>8</v>
      </c>
      <c r="I43" s="57">
        <v>8</v>
      </c>
    </row>
    <row r="44" spans="1:9" ht="22.5" x14ac:dyDescent="0.2">
      <c r="A44" s="14" t="s">
        <v>30</v>
      </c>
      <c r="B44" s="16" t="s">
        <v>120</v>
      </c>
      <c r="C44" s="16" t="s">
        <v>121</v>
      </c>
      <c r="D44" s="15" t="s">
        <v>25</v>
      </c>
      <c r="E44" s="19" t="s">
        <v>31</v>
      </c>
      <c r="F44" s="16" t="s">
        <v>8</v>
      </c>
      <c r="G44" s="2" t="s">
        <v>8</v>
      </c>
      <c r="H44" s="45" t="s">
        <v>8</v>
      </c>
      <c r="I44" s="57">
        <v>8</v>
      </c>
    </row>
    <row r="45" spans="1:9" s="22" customFormat="1" ht="23.25" thickBot="1" x14ac:dyDescent="0.25">
      <c r="A45" s="26">
        <v>96</v>
      </c>
      <c r="B45" s="28" t="s">
        <v>117</v>
      </c>
      <c r="C45" s="28" t="s">
        <v>115</v>
      </c>
      <c r="D45" s="27" t="s">
        <v>48</v>
      </c>
      <c r="E45" s="28" t="s">
        <v>51</v>
      </c>
      <c r="F45" s="28" t="s">
        <v>8</v>
      </c>
      <c r="G45" s="22" t="s">
        <v>8</v>
      </c>
      <c r="H45" s="22" t="s">
        <v>8</v>
      </c>
      <c r="I45" s="58">
        <v>8</v>
      </c>
    </row>
    <row r="46" spans="1:9" s="20" customFormat="1" ht="22.5" x14ac:dyDescent="0.2">
      <c r="A46" s="39">
        <v>105</v>
      </c>
      <c r="B46" s="46" t="s">
        <v>52</v>
      </c>
      <c r="C46" s="46" t="s">
        <v>53</v>
      </c>
      <c r="D46" s="20" t="s">
        <v>48</v>
      </c>
      <c r="E46" s="25" t="s">
        <v>61</v>
      </c>
      <c r="F46" s="25" t="s">
        <v>8</v>
      </c>
      <c r="G46" s="29" t="s">
        <v>8</v>
      </c>
      <c r="H46" s="45" t="s">
        <v>8</v>
      </c>
      <c r="I46" s="59">
        <v>8</v>
      </c>
    </row>
    <row r="47" spans="1:9" ht="101.25" x14ac:dyDescent="0.2">
      <c r="A47" s="30" t="s">
        <v>54</v>
      </c>
      <c r="B47" s="46" t="s">
        <v>52</v>
      </c>
      <c r="C47" s="46" t="s">
        <v>53</v>
      </c>
      <c r="D47" s="31" t="s">
        <v>22</v>
      </c>
      <c r="E47" s="32" t="s">
        <v>62</v>
      </c>
      <c r="F47" s="32" t="s">
        <v>8</v>
      </c>
      <c r="G47" s="46" t="s">
        <v>8</v>
      </c>
      <c r="H47" s="45" t="s">
        <v>8</v>
      </c>
      <c r="I47" s="57">
        <v>8</v>
      </c>
    </row>
    <row r="48" spans="1:9" ht="22.5" x14ac:dyDescent="0.2">
      <c r="A48" s="34">
        <v>105</v>
      </c>
      <c r="B48" s="46" t="s">
        <v>52</v>
      </c>
      <c r="C48" s="46" t="s">
        <v>53</v>
      </c>
      <c r="D48" s="31" t="s">
        <v>25</v>
      </c>
      <c r="E48" s="32" t="s">
        <v>63</v>
      </c>
      <c r="F48" s="32" t="s">
        <v>8</v>
      </c>
      <c r="G48" s="46" t="s">
        <v>8</v>
      </c>
      <c r="H48" s="45" t="s">
        <v>8</v>
      </c>
      <c r="I48" s="57">
        <v>8</v>
      </c>
    </row>
    <row r="49" spans="1:9" ht="101.25" x14ac:dyDescent="0.2">
      <c r="A49" s="34" t="s">
        <v>55</v>
      </c>
      <c r="B49" s="46" t="s">
        <v>56</v>
      </c>
      <c r="C49" s="46" t="s">
        <v>52</v>
      </c>
      <c r="D49" s="31" t="s">
        <v>22</v>
      </c>
      <c r="E49" s="32" t="s">
        <v>64</v>
      </c>
      <c r="F49" s="32" t="s">
        <v>8</v>
      </c>
      <c r="G49" s="46" t="s">
        <v>8</v>
      </c>
      <c r="H49" s="45" t="s">
        <v>8</v>
      </c>
      <c r="I49" s="57">
        <v>8</v>
      </c>
    </row>
    <row r="50" spans="1:9" ht="22.5" x14ac:dyDescent="0.2">
      <c r="A50" s="34">
        <v>111</v>
      </c>
      <c r="B50" s="49" t="s">
        <v>57</v>
      </c>
      <c r="C50" s="46" t="s">
        <v>58</v>
      </c>
      <c r="D50" s="31" t="s">
        <v>22</v>
      </c>
      <c r="E50" s="32" t="s">
        <v>59</v>
      </c>
      <c r="F50" s="32" t="s">
        <v>8</v>
      </c>
      <c r="G50" s="29" t="s">
        <v>8</v>
      </c>
      <c r="H50" s="45" t="s">
        <v>8</v>
      </c>
      <c r="I50" s="57">
        <v>8</v>
      </c>
    </row>
    <row r="51" spans="1:9" s="22" customFormat="1" ht="23.25" thickBot="1" x14ac:dyDescent="0.25">
      <c r="A51" s="35">
        <v>116</v>
      </c>
      <c r="B51" s="23" t="s">
        <v>52</v>
      </c>
      <c r="C51" s="23" t="s">
        <v>53</v>
      </c>
      <c r="D51" s="22" t="s">
        <v>22</v>
      </c>
      <c r="E51" s="23" t="s">
        <v>60</v>
      </c>
      <c r="F51" s="23" t="s">
        <v>8</v>
      </c>
      <c r="G51" s="36" t="s">
        <v>8</v>
      </c>
      <c r="H51" s="22" t="s">
        <v>8</v>
      </c>
      <c r="I51" s="58">
        <v>8</v>
      </c>
    </row>
    <row r="52" spans="1:9" s="20" customFormat="1" ht="22.5" x14ac:dyDescent="0.2">
      <c r="A52" s="24">
        <v>121</v>
      </c>
      <c r="B52" s="25" t="s">
        <v>65</v>
      </c>
      <c r="C52" s="25" t="s">
        <v>66</v>
      </c>
      <c r="D52" s="20" t="s">
        <v>22</v>
      </c>
      <c r="E52" s="25" t="s">
        <v>74</v>
      </c>
      <c r="F52" s="25" t="s">
        <v>8</v>
      </c>
      <c r="G52" s="20" t="s">
        <v>8</v>
      </c>
      <c r="H52" s="20" t="s">
        <v>8</v>
      </c>
      <c r="I52" s="59">
        <v>8</v>
      </c>
    </row>
    <row r="53" spans="1:9" s="20" customFormat="1" ht="22.5" x14ac:dyDescent="0.2">
      <c r="A53" s="24" t="s">
        <v>168</v>
      </c>
      <c r="B53" s="25" t="s">
        <v>160</v>
      </c>
      <c r="C53" s="25" t="s">
        <v>170</v>
      </c>
      <c r="D53" s="20" t="s">
        <v>12</v>
      </c>
      <c r="E53" s="25" t="s">
        <v>169</v>
      </c>
      <c r="F53" s="25"/>
      <c r="H53" s="20" t="s">
        <v>9</v>
      </c>
      <c r="I53" s="59"/>
    </row>
    <row r="54" spans="1:9" s="31" customFormat="1" ht="70.5" customHeight="1" x14ac:dyDescent="0.2">
      <c r="A54" s="24" t="s">
        <v>72</v>
      </c>
      <c r="B54" s="25" t="s">
        <v>65</v>
      </c>
      <c r="C54" s="25" t="s">
        <v>66</v>
      </c>
      <c r="D54" s="20" t="s">
        <v>22</v>
      </c>
      <c r="E54" s="25" t="s">
        <v>73</v>
      </c>
      <c r="F54" s="25" t="s">
        <v>8</v>
      </c>
      <c r="G54" s="20" t="s">
        <v>8</v>
      </c>
      <c r="H54" s="45" t="s">
        <v>8</v>
      </c>
      <c r="I54" s="57">
        <v>8</v>
      </c>
    </row>
    <row r="55" spans="1:9" s="31" customFormat="1" ht="33.75" x14ac:dyDescent="0.2">
      <c r="A55" s="24" t="s">
        <v>71</v>
      </c>
      <c r="B55" s="25" t="s">
        <v>65</v>
      </c>
      <c r="C55" s="25" t="s">
        <v>66</v>
      </c>
      <c r="D55" s="20" t="s">
        <v>48</v>
      </c>
      <c r="E55" s="25" t="s">
        <v>75</v>
      </c>
      <c r="F55" s="25" t="s">
        <v>8</v>
      </c>
      <c r="G55" s="20" t="s">
        <v>8</v>
      </c>
      <c r="H55" s="45" t="s">
        <v>8</v>
      </c>
      <c r="I55" s="57">
        <v>8</v>
      </c>
    </row>
    <row r="56" spans="1:9" s="22" customFormat="1" ht="23.25" thickBot="1" x14ac:dyDescent="0.25">
      <c r="A56" s="21" t="s">
        <v>67</v>
      </c>
      <c r="B56" s="23" t="s">
        <v>68</v>
      </c>
      <c r="C56" s="23" t="s">
        <v>69</v>
      </c>
      <c r="D56" s="22" t="s">
        <v>25</v>
      </c>
      <c r="E56" s="23" t="s">
        <v>70</v>
      </c>
      <c r="F56" s="23" t="s">
        <v>9</v>
      </c>
      <c r="G56" s="22" t="s">
        <v>21</v>
      </c>
      <c r="H56" s="22" t="s">
        <v>21</v>
      </c>
      <c r="I56" s="58">
        <v>8</v>
      </c>
    </row>
    <row r="57" spans="1:9" s="66" customFormat="1" ht="90" x14ac:dyDescent="0.2">
      <c r="A57" s="64" t="s">
        <v>164</v>
      </c>
      <c r="B57" s="65" t="s">
        <v>165</v>
      </c>
      <c r="C57" s="65" t="s">
        <v>109</v>
      </c>
      <c r="D57" s="66" t="s">
        <v>164</v>
      </c>
      <c r="E57" s="65" t="s">
        <v>166</v>
      </c>
      <c r="F57" s="65"/>
      <c r="H57" s="66" t="s">
        <v>8</v>
      </c>
      <c r="I57" s="67"/>
    </row>
    <row r="58" spans="1:9" s="66" customFormat="1" ht="157.5" x14ac:dyDescent="0.2">
      <c r="A58" s="64" t="s">
        <v>164</v>
      </c>
      <c r="B58" s="89" t="s">
        <v>113</v>
      </c>
      <c r="C58" s="65" t="s">
        <v>92</v>
      </c>
      <c r="D58" s="66" t="s">
        <v>164</v>
      </c>
      <c r="E58" s="65" t="s">
        <v>167</v>
      </c>
      <c r="F58" s="65"/>
      <c r="H58" s="66" t="s">
        <v>8</v>
      </c>
      <c r="I58" s="67"/>
    </row>
    <row r="59" spans="1:9" s="66" customFormat="1" ht="56.25" x14ac:dyDescent="0.2">
      <c r="A59" s="64" t="s">
        <v>164</v>
      </c>
      <c r="B59" s="65" t="s">
        <v>114</v>
      </c>
      <c r="C59" s="65" t="s">
        <v>94</v>
      </c>
      <c r="D59" s="66" t="s">
        <v>164</v>
      </c>
      <c r="E59" s="65" t="s">
        <v>172</v>
      </c>
      <c r="F59" s="65"/>
      <c r="H59" s="66" t="s">
        <v>9</v>
      </c>
      <c r="I59" s="67"/>
    </row>
    <row r="60" spans="1:9" s="66" customFormat="1" x14ac:dyDescent="0.2">
      <c r="A60" s="64"/>
      <c r="B60" s="65"/>
      <c r="C60" s="65"/>
      <c r="E60" s="65"/>
      <c r="F60" s="65"/>
      <c r="I60" s="67"/>
    </row>
    <row r="61" spans="1:9" s="20" customFormat="1" ht="12.75" x14ac:dyDescent="0.2">
      <c r="A61" s="63" t="s">
        <v>154</v>
      </c>
      <c r="B61" s="25"/>
      <c r="C61" s="25"/>
      <c r="E61" s="25"/>
      <c r="F61" s="25"/>
      <c r="I61" s="59"/>
    </row>
    <row r="62" spans="1:9" s="20" customFormat="1" ht="12.75" x14ac:dyDescent="0.2">
      <c r="A62" s="63"/>
      <c r="B62" s="25"/>
      <c r="C62" s="25"/>
      <c r="E62" s="25"/>
      <c r="F62" s="25"/>
      <c r="I62" s="59"/>
    </row>
    <row r="63" spans="1:9" ht="24" customHeight="1" x14ac:dyDescent="0.2">
      <c r="B63" s="46" t="s">
        <v>87</v>
      </c>
      <c r="C63" s="46" t="s">
        <v>88</v>
      </c>
      <c r="D63" s="2" t="s">
        <v>11</v>
      </c>
      <c r="E63" s="3" t="s">
        <v>78</v>
      </c>
      <c r="F63" s="3" t="s">
        <v>9</v>
      </c>
      <c r="G63" s="2" t="s">
        <v>21</v>
      </c>
      <c r="I63" s="57">
        <v>10</v>
      </c>
    </row>
    <row r="64" spans="1:9" ht="22.5" x14ac:dyDescent="0.2">
      <c r="B64" s="46" t="s">
        <v>171</v>
      </c>
      <c r="C64" s="46" t="s">
        <v>89</v>
      </c>
      <c r="D64" s="2" t="s">
        <v>12</v>
      </c>
      <c r="E64" s="3" t="s">
        <v>13</v>
      </c>
      <c r="F64" s="3" t="s">
        <v>8</v>
      </c>
      <c r="G64" s="2" t="s">
        <v>8</v>
      </c>
      <c r="I64" s="57">
        <v>10</v>
      </c>
    </row>
    <row r="65" spans="1:9" s="22" customFormat="1" ht="23.25" thickBot="1" x14ac:dyDescent="0.25">
      <c r="A65" s="21"/>
      <c r="B65" s="23" t="s">
        <v>14</v>
      </c>
      <c r="C65" s="23"/>
      <c r="E65" s="23" t="s">
        <v>77</v>
      </c>
      <c r="F65" s="23"/>
      <c r="I65" s="58">
        <v>10</v>
      </c>
    </row>
    <row r="67" spans="1:9" s="31" customFormat="1" ht="12.75" x14ac:dyDescent="0.2">
      <c r="A67" s="40" t="s">
        <v>152</v>
      </c>
      <c r="B67" s="46"/>
      <c r="C67" s="46"/>
      <c r="E67" s="32"/>
      <c r="F67" s="32"/>
      <c r="I67" s="57"/>
    </row>
    <row r="68" spans="1:9" s="31" customFormat="1" ht="22.5" x14ac:dyDescent="0.2">
      <c r="A68" s="69" t="s">
        <v>79</v>
      </c>
      <c r="B68" s="46" t="s">
        <v>96</v>
      </c>
      <c r="C68" s="46" t="s">
        <v>97</v>
      </c>
      <c r="D68" s="31" t="s">
        <v>11</v>
      </c>
      <c r="E68" s="32" t="s">
        <v>80</v>
      </c>
      <c r="F68" s="32" t="s">
        <v>9</v>
      </c>
      <c r="G68" s="31" t="s">
        <v>21</v>
      </c>
      <c r="I68" s="57" t="s">
        <v>151</v>
      </c>
    </row>
    <row r="69" spans="1:9" s="31" customFormat="1" ht="22.5" x14ac:dyDescent="0.2">
      <c r="A69" s="41" t="s">
        <v>81</v>
      </c>
      <c r="B69" s="46" t="s">
        <v>96</v>
      </c>
      <c r="C69" s="46" t="s">
        <v>98</v>
      </c>
      <c r="D69" s="31" t="s">
        <v>11</v>
      </c>
      <c r="E69" s="32" t="s">
        <v>146</v>
      </c>
      <c r="F69" s="32" t="s">
        <v>9</v>
      </c>
      <c r="G69" s="31" t="s">
        <v>21</v>
      </c>
      <c r="I69" s="57" t="s">
        <v>151</v>
      </c>
    </row>
    <row r="70" spans="1:9" s="31" customFormat="1" ht="168.75" x14ac:dyDescent="0.2">
      <c r="A70" s="54" t="s">
        <v>142</v>
      </c>
      <c r="B70" s="46" t="s">
        <v>90</v>
      </c>
      <c r="C70" s="46" t="s">
        <v>99</v>
      </c>
      <c r="D70" s="31" t="s">
        <v>11</v>
      </c>
      <c r="E70" s="32" t="s">
        <v>82</v>
      </c>
      <c r="F70" s="32" t="s">
        <v>8</v>
      </c>
      <c r="G70" s="31" t="s">
        <v>9</v>
      </c>
      <c r="H70" s="45" t="s">
        <v>9</v>
      </c>
      <c r="I70" s="57" t="s">
        <v>151</v>
      </c>
    </row>
    <row r="71" spans="1:9" s="31" customFormat="1" ht="112.5" x14ac:dyDescent="0.2">
      <c r="A71" s="54" t="s">
        <v>142</v>
      </c>
      <c r="B71" s="46" t="s">
        <v>96</v>
      </c>
      <c r="C71" s="46" t="s">
        <v>98</v>
      </c>
      <c r="D71" s="31" t="s">
        <v>11</v>
      </c>
      <c r="E71" s="32" t="s">
        <v>147</v>
      </c>
      <c r="F71" s="32" t="s">
        <v>9</v>
      </c>
      <c r="G71" s="31" t="s">
        <v>21</v>
      </c>
      <c r="I71" s="57" t="s">
        <v>151</v>
      </c>
    </row>
    <row r="72" spans="1:9" s="31" customFormat="1" ht="67.5" x14ac:dyDescent="0.2">
      <c r="A72" s="30" t="s">
        <v>143</v>
      </c>
      <c r="B72" s="46" t="s">
        <v>102</v>
      </c>
      <c r="C72" s="46" t="s">
        <v>100</v>
      </c>
      <c r="D72" s="31" t="s">
        <v>11</v>
      </c>
      <c r="E72" s="32" t="s">
        <v>148</v>
      </c>
      <c r="F72" s="32" t="s">
        <v>8</v>
      </c>
      <c r="G72" s="46" t="s">
        <v>136</v>
      </c>
      <c r="I72" s="57" t="s">
        <v>151</v>
      </c>
    </row>
    <row r="73" spans="1:9" s="45" customFormat="1" ht="45" x14ac:dyDescent="0.2">
      <c r="A73" s="44" t="s">
        <v>143</v>
      </c>
      <c r="B73" s="46" t="s">
        <v>137</v>
      </c>
      <c r="C73" s="46"/>
      <c r="D73" s="45" t="s">
        <v>11</v>
      </c>
      <c r="E73" s="46" t="s">
        <v>149</v>
      </c>
      <c r="F73" s="46" t="s">
        <v>135</v>
      </c>
      <c r="G73" s="45" t="s">
        <v>8</v>
      </c>
      <c r="H73" s="45" t="s">
        <v>8</v>
      </c>
      <c r="I73" s="57" t="s">
        <v>151</v>
      </c>
    </row>
    <row r="74" spans="1:9" s="31" customFormat="1" ht="33.75" x14ac:dyDescent="0.2">
      <c r="A74" s="30" t="s">
        <v>144</v>
      </c>
      <c r="B74" s="46" t="s">
        <v>90</v>
      </c>
      <c r="C74" s="46" t="s">
        <v>99</v>
      </c>
      <c r="D74" s="31" t="s">
        <v>11</v>
      </c>
      <c r="E74" s="32" t="s">
        <v>83</v>
      </c>
      <c r="F74" s="32" t="s">
        <v>9</v>
      </c>
      <c r="G74" s="31" t="s">
        <v>21</v>
      </c>
      <c r="H74" s="45" t="s">
        <v>9</v>
      </c>
      <c r="I74" s="57" t="s">
        <v>151</v>
      </c>
    </row>
    <row r="75" spans="1:9" s="31" customFormat="1" ht="33.75" x14ac:dyDescent="0.2">
      <c r="A75" s="30" t="s">
        <v>144</v>
      </c>
      <c r="B75" s="46" t="s">
        <v>96</v>
      </c>
      <c r="C75" s="46" t="s">
        <v>98</v>
      </c>
      <c r="D75" s="31" t="s">
        <v>11</v>
      </c>
      <c r="E75" s="33" t="s">
        <v>84</v>
      </c>
      <c r="F75" s="32" t="s">
        <v>9</v>
      </c>
      <c r="G75" s="31" t="s">
        <v>21</v>
      </c>
      <c r="I75" s="57" t="s">
        <v>151</v>
      </c>
    </row>
    <row r="76" spans="1:9" s="31" customFormat="1" ht="22.5" x14ac:dyDescent="0.2">
      <c r="A76" s="42" t="s">
        <v>145</v>
      </c>
      <c r="B76" s="46" t="s">
        <v>90</v>
      </c>
      <c r="C76" s="46" t="s">
        <v>100</v>
      </c>
      <c r="D76" s="31" t="s">
        <v>12</v>
      </c>
      <c r="E76" s="33" t="s">
        <v>85</v>
      </c>
      <c r="F76" s="32" t="s">
        <v>9</v>
      </c>
      <c r="G76" s="31" t="s">
        <v>21</v>
      </c>
      <c r="H76" s="45" t="s">
        <v>8</v>
      </c>
      <c r="I76" s="57" t="s">
        <v>151</v>
      </c>
    </row>
    <row r="77" spans="1:9" s="31" customFormat="1" ht="22.5" x14ac:dyDescent="0.2">
      <c r="A77" s="42" t="s">
        <v>145</v>
      </c>
      <c r="B77" s="46" t="s">
        <v>97</v>
      </c>
      <c r="C77" s="46" t="s">
        <v>98</v>
      </c>
      <c r="D77" s="31" t="s">
        <v>12</v>
      </c>
      <c r="E77" s="33" t="s">
        <v>85</v>
      </c>
      <c r="F77" s="32" t="s">
        <v>9</v>
      </c>
      <c r="G77" s="31" t="s">
        <v>21</v>
      </c>
      <c r="H77" s="45" t="s">
        <v>180</v>
      </c>
      <c r="I77" s="57" t="s">
        <v>151</v>
      </c>
    </row>
    <row r="78" spans="1:9" s="31" customFormat="1" ht="45" x14ac:dyDescent="0.2">
      <c r="A78" s="42">
        <v>19</v>
      </c>
      <c r="B78" s="46" t="s">
        <v>100</v>
      </c>
      <c r="C78" s="46" t="s">
        <v>150</v>
      </c>
      <c r="D78" s="31" t="s">
        <v>16</v>
      </c>
      <c r="E78" s="32" t="s">
        <v>86</v>
      </c>
      <c r="F78" s="32" t="s">
        <v>8</v>
      </c>
      <c r="G78" s="31" t="s">
        <v>9</v>
      </c>
      <c r="H78" s="45" t="s">
        <v>8</v>
      </c>
      <c r="I78" s="57" t="s">
        <v>151</v>
      </c>
    </row>
    <row r="79" spans="1:9" s="22" customFormat="1" ht="45.75" thickBot="1" x14ac:dyDescent="0.25">
      <c r="A79" s="21">
        <v>45</v>
      </c>
      <c r="B79" s="23" t="s">
        <v>90</v>
      </c>
      <c r="C79" s="87" t="s">
        <v>103</v>
      </c>
      <c r="D79" s="22" t="s">
        <v>16</v>
      </c>
      <c r="E79" s="23" t="s">
        <v>158</v>
      </c>
      <c r="F79" s="23" t="s">
        <v>8</v>
      </c>
      <c r="G79" s="22" t="s">
        <v>9</v>
      </c>
      <c r="I79" s="58" t="s">
        <v>151</v>
      </c>
    </row>
    <row r="81" spans="1:9" s="20" customFormat="1" ht="12.75" x14ac:dyDescent="0.2">
      <c r="A81" s="63" t="s">
        <v>153</v>
      </c>
      <c r="B81" s="25"/>
      <c r="C81" s="25"/>
      <c r="E81" s="25"/>
      <c r="F81" s="25"/>
      <c r="I81" s="59"/>
    </row>
    <row r="82" spans="1:9" s="20" customFormat="1" x14ac:dyDescent="0.2">
      <c r="A82" s="38"/>
      <c r="B82" s="25"/>
      <c r="C82" s="25"/>
      <c r="E82" s="25"/>
      <c r="F82" s="25"/>
      <c r="I82" s="59"/>
    </row>
    <row r="83" spans="1:9" ht="22.5" x14ac:dyDescent="0.2">
      <c r="B83" s="46" t="s">
        <v>193</v>
      </c>
      <c r="C83" s="46" t="s">
        <v>194</v>
      </c>
      <c r="D83" s="2" t="s">
        <v>12</v>
      </c>
      <c r="E83" s="3" t="s">
        <v>15</v>
      </c>
      <c r="F83" s="3" t="s">
        <v>9</v>
      </c>
      <c r="G83" s="2" t="s">
        <v>21</v>
      </c>
      <c r="I83" s="57" t="s">
        <v>76</v>
      </c>
    </row>
    <row r="84" spans="1:9" s="22" customFormat="1" ht="12" thickBot="1" x14ac:dyDescent="0.25">
      <c r="A84" s="21"/>
      <c r="B84" s="23"/>
      <c r="C84" s="23"/>
      <c r="E84" s="23"/>
      <c r="F84" s="23"/>
      <c r="I84" s="58"/>
    </row>
    <row r="85" spans="1:9" s="20" customFormat="1" x14ac:dyDescent="0.2">
      <c r="A85" s="24"/>
      <c r="B85" s="25"/>
      <c r="C85" s="25"/>
      <c r="E85" s="25"/>
      <c r="F85" s="25"/>
      <c r="I85" s="59"/>
    </row>
    <row r="86" spans="1:9" ht="12.75" x14ac:dyDescent="0.2">
      <c r="A86" s="63" t="s">
        <v>173</v>
      </c>
    </row>
    <row r="88" spans="1:9" ht="90" x14ac:dyDescent="0.2">
      <c r="A88" s="44" t="s">
        <v>164</v>
      </c>
      <c r="B88" s="49" t="s">
        <v>93</v>
      </c>
      <c r="C88" s="49" t="s">
        <v>176</v>
      </c>
      <c r="D88" s="45" t="s">
        <v>164</v>
      </c>
      <c r="E88" s="46" t="s">
        <v>175</v>
      </c>
      <c r="H88" s="45" t="s">
        <v>8</v>
      </c>
    </row>
    <row r="89" spans="1:9" ht="129.75" customHeight="1" x14ac:dyDescent="0.2">
      <c r="A89" s="44" t="s">
        <v>164</v>
      </c>
      <c r="B89" s="49" t="s">
        <v>93</v>
      </c>
      <c r="C89" s="46" t="s">
        <v>177</v>
      </c>
      <c r="D89" s="45" t="s">
        <v>164</v>
      </c>
      <c r="E89" s="46" t="s">
        <v>178</v>
      </c>
      <c r="H89" s="45" t="s">
        <v>8</v>
      </c>
    </row>
    <row r="90" spans="1:9" ht="157.5" x14ac:dyDescent="0.2">
      <c r="A90" s="44" t="s">
        <v>164</v>
      </c>
      <c r="B90" s="46" t="s">
        <v>174</v>
      </c>
      <c r="C90" s="46" t="s">
        <v>111</v>
      </c>
      <c r="D90" s="45" t="s">
        <v>164</v>
      </c>
      <c r="E90" s="46" t="s">
        <v>179</v>
      </c>
      <c r="H90" s="45" t="s">
        <v>8</v>
      </c>
    </row>
    <row r="91" spans="1:9" ht="45" x14ac:dyDescent="0.2">
      <c r="A91" s="44" t="s">
        <v>164</v>
      </c>
      <c r="B91" s="49" t="s">
        <v>126</v>
      </c>
      <c r="C91" s="49" t="s">
        <v>182</v>
      </c>
      <c r="D91" s="45" t="s">
        <v>164</v>
      </c>
      <c r="E91" s="46" t="s">
        <v>181</v>
      </c>
      <c r="H91" s="45" t="s">
        <v>9</v>
      </c>
    </row>
    <row r="854" spans="2:9" s="11" customFormat="1" x14ac:dyDescent="0.2">
      <c r="B854" s="53"/>
      <c r="C854" s="53"/>
      <c r="E854" s="12"/>
      <c r="F854" s="12"/>
      <c r="I854" s="60"/>
    </row>
    <row r="855" spans="2:9" s="11" customFormat="1" x14ac:dyDescent="0.2">
      <c r="B855" s="53"/>
      <c r="C855" s="53"/>
      <c r="E855" s="12"/>
      <c r="F855" s="12"/>
      <c r="I855" s="60"/>
    </row>
    <row r="856" spans="2:9" s="11" customFormat="1" x14ac:dyDescent="0.2">
      <c r="B856" s="53"/>
      <c r="C856" s="53"/>
      <c r="E856" s="12"/>
      <c r="F856" s="12"/>
      <c r="I856" s="60"/>
    </row>
    <row r="857" spans="2:9" s="11" customFormat="1" x14ac:dyDescent="0.2">
      <c r="B857" s="53"/>
      <c r="C857" s="53"/>
      <c r="E857" s="12"/>
      <c r="F857" s="12"/>
      <c r="I857" s="60"/>
    </row>
  </sheetData>
  <phoneticPr fontId="1" type="noConversion"/>
  <conditionalFormatting sqref="F1:G79 F81:G83 F86:G1048576">
    <cfRule type="containsText" dxfId="4" priority="9" operator="containsText" text="muut">
      <formula>NOT(ISERROR(SEARCH("muut",F1)))</formula>
    </cfRule>
    <cfRule type="containsText" dxfId="3" priority="10" operator="containsText" text="hyl">
      <formula>NOT(ISERROR(SEARCH("hyl",F1)))</formula>
    </cfRule>
    <cfRule type="containsText" dxfId="2" priority="11" operator="containsText" text="hyv">
      <formula>NOT(ISERROR(SEARCH("hyv",F1)))</formula>
    </cfRule>
  </conditionalFormatting>
  <conditionalFormatting sqref="H1:H1048576">
    <cfRule type="containsText" dxfId="1" priority="1" operator="containsText" text="hyl">
      <formula>NOT(ISERROR(SEARCH("hyl",H1)))</formula>
    </cfRule>
    <cfRule type="containsText" dxfId="0" priority="2" operator="containsText" text="hyv">
      <formula>NOT(ISERROR(SEARCH("hyv",H1)))</formula>
    </cfRule>
  </conditionalFormatting>
  <pageMargins left="0.15748031496062992" right="0.15748031496062992" top="0.15748031496062992" bottom="0.19685039370078741" header="0.51181102362204722" footer="0.51181102362204722"/>
  <pageSetup paperSize="9" firstPageNumber="0"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Kaikki</vt:lpstr>
      <vt:lpstr>(SKY)</vt:lpstr>
      <vt:lpstr>(ÅAS)</vt:lpstr>
      <vt:lpstr>(VYY)</vt:lpstr>
      <vt:lpstr>(TYY)</vt:lpstr>
      <vt:lpstr>(TeYO)</vt:lpstr>
      <vt:lpstr>(Tamy)</vt:lpstr>
      <vt:lpstr>(TTYY)</vt:lpstr>
      <vt:lpstr>(SHS)</vt:lpstr>
      <vt:lpstr>(SAY)</vt:lpstr>
      <vt:lpstr>(OYY)</vt:lpstr>
      <vt:lpstr>(LTKY)</vt:lpstr>
      <vt:lpstr>(LYY)</vt:lpstr>
      <vt:lpstr>(KUVYO)</vt:lpstr>
      <vt:lpstr>(JYY)</vt:lpstr>
      <vt:lpstr>(ISYY)</vt:lpstr>
      <vt:lpstr>(HYY)</vt:lpstr>
      <vt:lpstr>(AYY)</vt:lpstr>
      <vt:lpstr>MUUTOSESITYSEXCEL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Matti Parpala</dc:creator>
  <cp:lastModifiedBy>Juho Salmi</cp:lastModifiedBy>
  <cp:lastPrinted>2012-11-23T23:40:52Z</cp:lastPrinted>
  <dcterms:created xsi:type="dcterms:W3CDTF">2010-05-23T00:41:06Z</dcterms:created>
  <dcterms:modified xsi:type="dcterms:W3CDTF">2013-01-11T12:30:11Z</dcterms:modified>
</cp:coreProperties>
</file>